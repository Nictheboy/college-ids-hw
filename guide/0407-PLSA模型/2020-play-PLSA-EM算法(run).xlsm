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2021-07-18《数据科学概论》new plan\2022newPPT\0407-PLSA模型\"/>
    </mc:Choice>
  </mc:AlternateContent>
  <xr:revisionPtr revIDLastSave="0" documentId="13_ncr:1_{BD1878DD-FC7F-480B-920E-A2AFA42D83CF}" xr6:coauthVersionLast="36" xr6:coauthVersionMax="36" xr10:uidLastSave="{00000000-0000-0000-0000-000000000000}"/>
  <bookViews>
    <workbookView xWindow="69" yWindow="51" windowWidth="22720" windowHeight="12303" xr2:uid="{00000000-000D-0000-FFFF-FFFF00000000}"/>
  </bookViews>
  <sheets>
    <sheet name="2020PLSA(run)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1" i="3" l="1"/>
  <c r="K31" i="3"/>
  <c r="J31" i="3"/>
  <c r="I31" i="3"/>
  <c r="H31" i="3"/>
  <c r="G31" i="3"/>
  <c r="L32" i="3"/>
  <c r="K32" i="3"/>
  <c r="J32" i="3"/>
  <c r="I32" i="3"/>
  <c r="H32" i="3"/>
  <c r="G32" i="3"/>
  <c r="L33" i="3"/>
  <c r="K33" i="3"/>
  <c r="J33" i="3"/>
  <c r="I33" i="3"/>
  <c r="H33" i="3"/>
  <c r="G33" i="3"/>
  <c r="L34" i="3"/>
  <c r="K34" i="3"/>
  <c r="J34" i="3"/>
  <c r="I34" i="3"/>
  <c r="H34" i="3"/>
  <c r="G34" i="3"/>
  <c r="L35" i="3"/>
  <c r="K35" i="3"/>
  <c r="J35" i="3"/>
  <c r="I35" i="3"/>
  <c r="H35" i="3"/>
  <c r="G35" i="3"/>
  <c r="L30" i="3"/>
  <c r="K30" i="3"/>
  <c r="J30" i="3"/>
  <c r="I30" i="3"/>
  <c r="H30" i="3"/>
  <c r="G30" i="3"/>
  <c r="L29" i="3"/>
  <c r="K29" i="3"/>
  <c r="J29" i="3"/>
  <c r="I29" i="3"/>
  <c r="H29" i="3"/>
  <c r="G29" i="3"/>
  <c r="L28" i="3"/>
  <c r="K28" i="3"/>
  <c r="J28" i="3"/>
  <c r="I28" i="3"/>
  <c r="H28" i="3"/>
  <c r="G28" i="3"/>
  <c r="L27" i="3"/>
  <c r="K27" i="3"/>
  <c r="J27" i="3"/>
  <c r="I27" i="3"/>
  <c r="H27" i="3"/>
  <c r="G27" i="3"/>
  <c r="L26" i="3"/>
  <c r="K26" i="3"/>
  <c r="J26" i="3"/>
  <c r="I26" i="3"/>
  <c r="H26" i="3"/>
  <c r="G26" i="3"/>
  <c r="H17" i="3"/>
  <c r="H16" i="3"/>
  <c r="H15" i="3"/>
  <c r="H14" i="3"/>
  <c r="H13" i="3"/>
  <c r="B38" i="3" l="1"/>
  <c r="B40" i="3"/>
  <c r="B42" i="3"/>
  <c r="C41" i="3"/>
  <c r="C39" i="3"/>
  <c r="I38" i="3"/>
  <c r="I39" i="3"/>
  <c r="J39" i="3"/>
  <c r="G38" i="3"/>
  <c r="J38" i="3"/>
  <c r="C42" i="3"/>
  <c r="E39" i="3"/>
  <c r="B39" i="3"/>
  <c r="B41" i="3"/>
  <c r="C40" i="3"/>
  <c r="F38" i="3"/>
  <c r="F39" i="3"/>
  <c r="H38" i="3"/>
  <c r="H39" i="3"/>
  <c r="E38" i="3"/>
  <c r="G39" i="3"/>
  <c r="C38" i="3"/>
  <c r="B44" i="3" l="1"/>
  <c r="B45" i="3"/>
</calcChain>
</file>

<file path=xl/sharedStrings.xml><?xml version="1.0" encoding="utf-8"?>
<sst xmlns="http://schemas.openxmlformats.org/spreadsheetml/2006/main" count="156" uniqueCount="114">
  <si>
    <t>sita</t>
    <phoneticPr fontId="1" type="noConversion"/>
  </si>
  <si>
    <t>d1</t>
    <phoneticPr fontId="1" type="noConversion"/>
  </si>
  <si>
    <t>d2</t>
    <phoneticPr fontId="1" type="noConversion"/>
  </si>
  <si>
    <t>d3</t>
    <phoneticPr fontId="1" type="noConversion"/>
  </si>
  <si>
    <t>d4</t>
    <phoneticPr fontId="1" type="noConversion"/>
  </si>
  <si>
    <t>d5</t>
    <phoneticPr fontId="1" type="noConversion"/>
  </si>
  <si>
    <t>z1</t>
    <phoneticPr fontId="1" type="noConversion"/>
  </si>
  <si>
    <t>z2</t>
    <phoneticPr fontId="1" type="noConversion"/>
  </si>
  <si>
    <t>phi</t>
    <phoneticPr fontId="1" type="noConversion"/>
  </si>
  <si>
    <t>w1</t>
    <phoneticPr fontId="1" type="noConversion"/>
  </si>
  <si>
    <t>w2</t>
    <phoneticPr fontId="1" type="noConversion"/>
  </si>
  <si>
    <t>w3</t>
    <phoneticPr fontId="1" type="noConversion"/>
  </si>
  <si>
    <t>w4</t>
    <phoneticPr fontId="1" type="noConversion"/>
  </si>
  <si>
    <t>w5</t>
    <phoneticPr fontId="1" type="noConversion"/>
  </si>
  <si>
    <t>w6</t>
    <phoneticPr fontId="1" type="noConversion"/>
  </si>
  <si>
    <t>P(𝑧1|𝑑2,𝑤1)</t>
    <phoneticPr fontId="1" type="noConversion"/>
  </si>
  <si>
    <t>P(𝑧1|𝑑3,𝑤1)</t>
    <phoneticPr fontId="1" type="noConversion"/>
  </si>
  <si>
    <t>P(𝑧1|𝑑4,𝑤1)</t>
    <phoneticPr fontId="1" type="noConversion"/>
  </si>
  <si>
    <t>P(𝑧1|𝑑5,𝑤1)</t>
    <phoneticPr fontId="1" type="noConversion"/>
  </si>
  <si>
    <t>P(𝑧1|𝑑1,𝑤2)</t>
    <phoneticPr fontId="1" type="noConversion"/>
  </si>
  <si>
    <t>P(𝑧1|𝑑1,𝑤4)</t>
    <phoneticPr fontId="1" type="noConversion"/>
  </si>
  <si>
    <t>P(𝑧1|𝑑2,𝑤2)</t>
    <phoneticPr fontId="1" type="noConversion"/>
  </si>
  <si>
    <t>P(𝑧1|𝑑3,𝑤3)</t>
    <phoneticPr fontId="1" type="noConversion"/>
  </si>
  <si>
    <t>P(𝑧1|𝑑4,𝑤4)</t>
    <phoneticPr fontId="1" type="noConversion"/>
  </si>
  <si>
    <t>P(𝑧1|𝑑5,𝑤5)</t>
    <phoneticPr fontId="1" type="noConversion"/>
  </si>
  <si>
    <t>P(𝑧1|𝑑1,𝑤3)</t>
    <phoneticPr fontId="1" type="noConversion"/>
  </si>
  <si>
    <t>P(𝑧1|𝑑2,𝑤3)</t>
    <phoneticPr fontId="1" type="noConversion"/>
  </si>
  <si>
    <t>P(𝑧1|𝑑4,𝑤3)</t>
    <phoneticPr fontId="1" type="noConversion"/>
  </si>
  <si>
    <t>P(𝑧1|𝑑5,𝑤3)</t>
    <phoneticPr fontId="1" type="noConversion"/>
  </si>
  <si>
    <t>P(𝑧1|𝑑2,𝑤4)</t>
    <phoneticPr fontId="1" type="noConversion"/>
  </si>
  <si>
    <t>P(𝑧1|𝑑3,𝑤4)</t>
    <phoneticPr fontId="1" type="noConversion"/>
  </si>
  <si>
    <t>P(𝑧1|𝑑5,𝑤4)</t>
    <phoneticPr fontId="1" type="noConversion"/>
  </si>
  <si>
    <t>P(𝑧1|𝑑1,𝑤5)</t>
    <phoneticPr fontId="1" type="noConversion"/>
  </si>
  <si>
    <t>P(𝑧1|𝑑2,𝑤5)</t>
    <phoneticPr fontId="1" type="noConversion"/>
  </si>
  <si>
    <t>P(𝑧1|𝑑3,𝑤5)</t>
    <phoneticPr fontId="1" type="noConversion"/>
  </si>
  <si>
    <t>P(𝑧1|𝑑4,𝑤5)</t>
    <phoneticPr fontId="1" type="noConversion"/>
  </si>
  <si>
    <t>P(𝑧1|𝑑1,𝑤6)</t>
    <phoneticPr fontId="1" type="noConversion"/>
  </si>
  <si>
    <t>P(𝑧1|𝑑2,𝑤6)</t>
    <phoneticPr fontId="1" type="noConversion"/>
  </si>
  <si>
    <t>P(𝑧1|𝑑3,𝑤6)</t>
    <phoneticPr fontId="1" type="noConversion"/>
  </si>
  <si>
    <t>P(𝑧1|𝑑4,𝑤6)</t>
    <phoneticPr fontId="1" type="noConversion"/>
  </si>
  <si>
    <t>P(𝑧1|𝑑5,𝑤6)</t>
    <phoneticPr fontId="1" type="noConversion"/>
  </si>
  <si>
    <t>P(z2|𝑑1,𝑤1)</t>
  </si>
  <si>
    <t>P(z2|𝑑1,𝑤2)</t>
  </si>
  <si>
    <t>P(z2|𝑑1,𝑤3)</t>
  </si>
  <si>
    <t>P(z2|𝑑1,𝑤4)</t>
  </si>
  <si>
    <t>P(z2|𝑑1,𝑤5)</t>
  </si>
  <si>
    <t>P(z2|𝑑1,𝑤6)</t>
  </si>
  <si>
    <t>P(z2|𝑑2,𝑤1)</t>
  </si>
  <si>
    <t>P(z2|𝑑2,𝑤2)</t>
  </si>
  <si>
    <t>P(z2|𝑑2,𝑤3)</t>
  </si>
  <si>
    <t>P(z2|𝑑2,𝑤4)</t>
  </si>
  <si>
    <t>P(z2|𝑑2,𝑤5)</t>
  </si>
  <si>
    <t>P(z2|𝑑2,𝑤6)</t>
  </si>
  <si>
    <t>P(z2|𝑑3,𝑤1)</t>
  </si>
  <si>
    <t>P(z2|𝑑3,𝑤3)</t>
  </si>
  <si>
    <t>P(z2|𝑑3,𝑤4)</t>
  </si>
  <si>
    <t>P(z2|𝑑3,𝑤5)</t>
  </si>
  <si>
    <t>P(z2|𝑑3,𝑤6)</t>
  </si>
  <si>
    <t>P(z2|𝑑4,𝑤1)</t>
  </si>
  <si>
    <t>P(z2|𝑑4,𝑤4)</t>
  </si>
  <si>
    <t>P(z2|𝑑4,𝑤3)</t>
  </si>
  <si>
    <t>P(z2|𝑑4,𝑤5)</t>
  </si>
  <si>
    <t>P(z2|𝑑4,𝑤6)</t>
  </si>
  <si>
    <t>P(z2|𝑑5,𝑤1)</t>
  </si>
  <si>
    <t>P(z2|𝑑5,𝑤5)</t>
  </si>
  <si>
    <t>P(z2|𝑑5,𝑤3)</t>
  </si>
  <si>
    <t>P(z2|𝑑5,𝑤4)</t>
  </si>
  <si>
    <t>P(z2|𝑑5,𝑤6)</t>
  </si>
  <si>
    <t>n(d1)</t>
    <phoneticPr fontId="1" type="noConversion"/>
  </si>
  <si>
    <t>n(d3)</t>
  </si>
  <si>
    <t>n(d4)</t>
  </si>
  <si>
    <t>n(d5)</t>
  </si>
  <si>
    <t>n(d2)</t>
    <phoneticPr fontId="1" type="noConversion"/>
  </si>
  <si>
    <t>n(d2,w1)</t>
    <phoneticPr fontId="1" type="noConversion"/>
  </si>
  <si>
    <t>n(d3,w1)</t>
    <phoneticPr fontId="1" type="noConversion"/>
  </si>
  <si>
    <t>n(d4,w1)</t>
    <phoneticPr fontId="1" type="noConversion"/>
  </si>
  <si>
    <t>n(d5,w1)</t>
    <phoneticPr fontId="1" type="noConversion"/>
  </si>
  <si>
    <t>n(d1,w1)</t>
    <phoneticPr fontId="1" type="noConversion"/>
  </si>
  <si>
    <t>n(d1,w2)</t>
  </si>
  <si>
    <t>n(d2,w2)</t>
  </si>
  <si>
    <t>n(d3,w2)</t>
  </si>
  <si>
    <t>n(d4,w2)</t>
  </si>
  <si>
    <t>n(d5,w2)</t>
  </si>
  <si>
    <t>n(d1,w3)</t>
  </si>
  <si>
    <t>n(d2,w3)</t>
  </si>
  <si>
    <t>n(d3,w3)</t>
  </si>
  <si>
    <t>n(d4,w3)</t>
  </si>
  <si>
    <t>n(d5,w3)</t>
  </si>
  <si>
    <t>n(d1,w4)</t>
  </si>
  <si>
    <t>n(d2,w4)</t>
  </si>
  <si>
    <t>n(d3,w4)</t>
  </si>
  <si>
    <t>n(d4,w4)</t>
  </si>
  <si>
    <t>n(d5,w4)</t>
  </si>
  <si>
    <t>n(d1,w5)</t>
  </si>
  <si>
    <t>n(d2,w5)</t>
  </si>
  <si>
    <t>n(d3,w5)</t>
  </si>
  <si>
    <t>n(d4,w5)</t>
  </si>
  <si>
    <t>n(d5,w5)</t>
  </si>
  <si>
    <t>n(d1,w6)</t>
  </si>
  <si>
    <t>n(d2,w6)</t>
  </si>
  <si>
    <t>n(d3,w6)</t>
  </si>
  <si>
    <t>n(d4,w6)</t>
  </si>
  <si>
    <t>n(d5,w6)</t>
  </si>
  <si>
    <t>1，PLSA算法可以通过词项-文档矩阵，推断文档的主题分布</t>
    <phoneticPr fontId="1" type="noConversion"/>
  </si>
  <si>
    <t>2，使用的算法是一种EM算法，具体请参考《数据科学概论》教材</t>
    <phoneticPr fontId="1" type="noConversion"/>
  </si>
  <si>
    <t>3，运行这个实例的过程是，（1）点击初始化按钮，对参数进行初始化；（2）连续多次点击迭代按钮，一直到算法收敛，就可以得到每个文档的主题分布，和每个主题的词项分布</t>
    <phoneticPr fontId="1" type="noConversion"/>
  </si>
  <si>
    <t>如下是参数的初始值，分别是文档的主题分布，和主题的单词分布</t>
    <phoneticPr fontId="1" type="noConversion"/>
  </si>
  <si>
    <t>如下是文档-词项矩阵（即词项-文档矩阵的转置）</t>
    <phoneticPr fontId="1" type="noConversion"/>
  </si>
  <si>
    <t>下面是迭代用的sita值，和phi值</t>
    <phoneticPr fontId="1" type="noConversion"/>
  </si>
  <si>
    <t>下面是p(zk|di,wj)</t>
    <phoneticPr fontId="1" type="noConversion"/>
  </si>
  <si>
    <t>P(𝑧1|𝑑1,𝑤1)</t>
    <phoneticPr fontId="1" type="noConversion"/>
  </si>
  <si>
    <t>下面是修正的sita值，和phi值</t>
    <phoneticPr fontId="1" type="noConversion"/>
  </si>
  <si>
    <t>p(z1)</t>
    <phoneticPr fontId="1" type="noConversion"/>
  </si>
  <si>
    <t>p(z2)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</si>
</sst>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0.00_ "/>
  </numFmts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1"/>
      <color rgb="FF000000"/>
      <name val="等线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76" fontId="0" fillId="0" borderId="0" xfId="0" applyNumberFormat="1"/>
    <xf numFmtId="0" fontId="0" fillId="0" borderId="2" xfId="0" applyFill="1" applyBorder="1"/>
    <xf numFmtId="0" fontId="0" fillId="2" borderId="1" xfId="0" applyFill="1" applyBorder="1"/>
    <xf numFmtId="0" fontId="0" fillId="3" borderId="1" xfId="0" applyFill="1" applyBorder="1"/>
    <xf numFmtId="176" fontId="4" fillId="4" borderId="1" xfId="0" applyNumberFormat="1" applyFont="1" applyFill="1" applyBorder="1"/>
    <xf numFmtId="176" fontId="5" fillId="5" borderId="1" xfId="0" applyNumberFormat="1" applyFont="1" applyFill="1" applyBorder="1"/>
    <xf numFmtId="176" fontId="2" fillId="5" borderId="1" xfId="0" applyNumberFormat="1" applyFont="1" applyFill="1" applyBorder="1" applyAlignment="1">
      <alignment horizontal="left" vertical="center" wrapText="1" readingOrder="1"/>
    </xf>
    <xf numFmtId="176" fontId="3" fillId="6" borderId="1" xfId="0" applyNumberFormat="1" applyFont="1" applyFill="1" applyBorder="1"/>
    <xf numFmtId="176" fontId="2" fillId="6" borderId="1" xfId="0" applyNumberFormat="1" applyFont="1" applyFill="1" applyBorder="1" applyAlignment="1">
      <alignment horizontal="left" vertical="center" wrapText="1" readingOrder="1"/>
    </xf>
    <xf numFmtId="176" fontId="3" fillId="7" borderId="1" xfId="0" applyNumberFormat="1" applyFont="1" applyFill="1" applyBorder="1"/>
    <xf numFmtId="176" fontId="3" fillId="6" borderId="2" xfId="0" applyNumberFormat="1" applyFont="1" applyFill="1" applyBorder="1"/>
    <xf numFmtId="176" fontId="4" fillId="8" borderId="1" xfId="0" applyNumberFormat="1" applyFont="1" applyFill="1" applyBorder="1"/>
    <xf numFmtId="176" fontId="3" fillId="7" borderId="3" xfId="0" applyNumberFormat="1" applyFont="1" applyFill="1" applyBorder="1"/>
    <xf numFmtId="176" fontId="3" fillId="10" borderId="1" xfId="0" applyNumberFormat="1" applyFont="1" applyFill="1" applyBorder="1"/>
    <xf numFmtId="176" fontId="0" fillId="6" borderId="1" xfId="0" applyNumberFormat="1" applyFill="1" applyBorder="1"/>
    <xf numFmtId="177" fontId="0" fillId="2" borderId="1" xfId="0" applyNumberFormat="1" applyFill="1" applyBorder="1"/>
    <xf numFmtId="177" fontId="0" fillId="3" borderId="1" xfId="0" applyNumberFormat="1" applyFill="1" applyBorder="1"/>
    <xf numFmtId="176" fontId="0" fillId="9" borderId="0" xfId="0" applyNumberFormat="1" applyFill="1"/>
    <xf numFmtId="176" fontId="0" fillId="7" borderId="1" xfId="0" applyNumberFormat="1" applyFill="1" applyBorder="1"/>
    <xf numFmtId="176" fontId="0" fillId="10" borderId="1" xfId="0" applyNumberFormat="1" applyFill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232229</xdr:colOff>
          <xdr:row>18</xdr:row>
          <xdr:rowOff>119743</xdr:rowOff>
        </xdr:from>
        <xdr:to>
          <xdr:col>12</xdr:col>
          <xdr:colOff>355600</xdr:colOff>
          <xdr:row>21</xdr:row>
          <xdr:rowOff>58057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（1）初始化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47171</xdr:colOff>
          <xdr:row>18</xdr:row>
          <xdr:rowOff>101600</xdr:rowOff>
        </xdr:from>
        <xdr:to>
          <xdr:col>16</xdr:col>
          <xdr:colOff>14514</xdr:colOff>
          <xdr:row>21</xdr:row>
          <xdr:rowOff>54429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（2）迭代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438150</xdr:colOff>
      <xdr:row>8</xdr:row>
      <xdr:rowOff>38100</xdr:rowOff>
    </xdr:from>
    <xdr:to>
      <xdr:col>4</xdr:col>
      <xdr:colOff>72390</xdr:colOff>
      <xdr:row>17</xdr:row>
      <xdr:rowOff>171450</xdr:rowOff>
    </xdr:to>
    <xdr:sp macro="" textlink="">
      <xdr:nvSpPr>
        <xdr:cNvPr id="2" name="箭头: 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49830" y="1470660"/>
          <a:ext cx="304800" cy="18973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4</xdr:col>
      <xdr:colOff>502920</xdr:colOff>
      <xdr:row>22</xdr:row>
      <xdr:rowOff>3810</xdr:rowOff>
    </xdr:from>
    <xdr:to>
      <xdr:col>6</xdr:col>
      <xdr:colOff>335280</xdr:colOff>
      <xdr:row>23</xdr:row>
      <xdr:rowOff>175260</xdr:rowOff>
    </xdr:to>
    <xdr:sp macro="" textlink="">
      <xdr:nvSpPr>
        <xdr:cNvPr id="3" name="箭头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099939">
          <a:off x="3185160" y="4217670"/>
          <a:ext cx="1173480" cy="3810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</a:t>
          </a:r>
          <a:endParaRPr lang="zh-CN" altLang="en-US" sz="1100"/>
        </a:p>
      </xdr:txBody>
    </xdr:sp>
    <xdr:clientData/>
  </xdr:twoCellAnchor>
  <xdr:twoCellAnchor>
    <xdr:from>
      <xdr:col>4</xdr:col>
      <xdr:colOff>506730</xdr:colOff>
      <xdr:row>33</xdr:row>
      <xdr:rowOff>11430</xdr:rowOff>
    </xdr:from>
    <xdr:to>
      <xdr:col>5</xdr:col>
      <xdr:colOff>647700</xdr:colOff>
      <xdr:row>35</xdr:row>
      <xdr:rowOff>19050</xdr:rowOff>
    </xdr:to>
    <xdr:sp macro="" textlink="">
      <xdr:nvSpPr>
        <xdr:cNvPr id="4" name="箭头: 左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9187140">
          <a:off x="3188970" y="6286500"/>
          <a:ext cx="811530" cy="3657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3</a:t>
          </a:r>
          <a:endParaRPr lang="zh-CN" altLang="en-US" sz="1100"/>
        </a:p>
      </xdr:txBody>
    </xdr:sp>
    <xdr:clientData/>
  </xdr:twoCellAnchor>
  <xdr:twoCellAnchor>
    <xdr:from>
      <xdr:col>2</xdr:col>
      <xdr:colOff>529590</xdr:colOff>
      <xdr:row>21</xdr:row>
      <xdr:rowOff>95250</xdr:rowOff>
    </xdr:from>
    <xdr:to>
      <xdr:col>3</xdr:col>
      <xdr:colOff>179070</xdr:colOff>
      <xdr:row>35</xdr:row>
      <xdr:rowOff>121920</xdr:rowOff>
    </xdr:to>
    <xdr:sp macro="" textlink="">
      <xdr:nvSpPr>
        <xdr:cNvPr id="5" name="箭头: 上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70710" y="4099560"/>
          <a:ext cx="320040" cy="265557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4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tabSelected="1" topLeftCell="A14" workbookViewId="0">
      <selection activeCell="Q15" sqref="Q15"/>
    </sheetView>
  </sheetViews>
  <sheetFormatPr defaultRowHeight="14" x14ac:dyDescent="0.5"/>
  <sheetData>
    <row r="1" spans="1:14" x14ac:dyDescent="0.5">
      <c r="A1" t="s">
        <v>103</v>
      </c>
    </row>
    <row r="2" spans="1:14" x14ac:dyDescent="0.5">
      <c r="A2" t="s">
        <v>104</v>
      </c>
    </row>
    <row r="3" spans="1:14" x14ac:dyDescent="0.5">
      <c r="A3" t="s">
        <v>105</v>
      </c>
    </row>
    <row r="5" spans="1:14" x14ac:dyDescent="0.5">
      <c r="A5" t="s">
        <v>106</v>
      </c>
    </row>
    <row r="6" spans="1:14" x14ac:dyDescent="0.5">
      <c r="A6" s="3" t="s">
        <v>0</v>
      </c>
      <c r="B6" s="3" t="s">
        <v>6</v>
      </c>
      <c r="C6" s="3" t="s">
        <v>7</v>
      </c>
      <c r="D6" s="4" t="s">
        <v>8</v>
      </c>
      <c r="E6" s="4" t="s">
        <v>9</v>
      </c>
      <c r="F6" s="4" t="s">
        <v>10</v>
      </c>
      <c r="G6" s="4" t="s">
        <v>11</v>
      </c>
      <c r="H6" s="4" t="s">
        <v>12</v>
      </c>
      <c r="I6" s="4" t="s">
        <v>13</v>
      </c>
      <c r="J6" s="4" t="s">
        <v>14</v>
      </c>
    </row>
    <row r="7" spans="1:14" x14ac:dyDescent="0.5">
      <c r="A7" s="3" t="s">
        <v>1</v>
      </c>
      <c r="B7" s="16">
        <v>0.6</v>
      </c>
      <c r="C7" s="16">
        <v>0.4</v>
      </c>
      <c r="D7" s="4" t="s">
        <v>6</v>
      </c>
      <c r="E7" s="17">
        <v>0.4</v>
      </c>
      <c r="F7" s="17">
        <v>0.4</v>
      </c>
      <c r="G7" s="17">
        <v>0.6</v>
      </c>
      <c r="H7" s="17">
        <v>0.6</v>
      </c>
      <c r="I7" s="17">
        <v>0.7</v>
      </c>
      <c r="J7" s="17">
        <v>0.7</v>
      </c>
    </row>
    <row r="8" spans="1:14" x14ac:dyDescent="0.5">
      <c r="A8" s="3" t="s">
        <v>2</v>
      </c>
      <c r="B8" s="16">
        <v>0.4</v>
      </c>
      <c r="C8" s="16">
        <v>0.6</v>
      </c>
      <c r="D8" s="4" t="s">
        <v>7</v>
      </c>
      <c r="E8" s="17">
        <v>0.6</v>
      </c>
      <c r="F8" s="17">
        <v>0.6</v>
      </c>
      <c r="G8" s="17">
        <v>0.4</v>
      </c>
      <c r="H8" s="17">
        <v>0.4</v>
      </c>
      <c r="I8" s="17">
        <v>0.3</v>
      </c>
      <c r="J8" s="17">
        <v>0.3</v>
      </c>
    </row>
    <row r="9" spans="1:14" x14ac:dyDescent="0.5">
      <c r="A9" s="3" t="s">
        <v>3</v>
      </c>
      <c r="B9" s="16">
        <v>0.4</v>
      </c>
      <c r="C9" s="16">
        <v>0.6</v>
      </c>
    </row>
    <row r="10" spans="1:14" x14ac:dyDescent="0.5">
      <c r="A10" s="3" t="s">
        <v>4</v>
      </c>
      <c r="B10" s="16">
        <v>0.6</v>
      </c>
      <c r="C10" s="16">
        <v>0.4</v>
      </c>
    </row>
    <row r="11" spans="1:14" x14ac:dyDescent="0.5">
      <c r="A11" s="3" t="s">
        <v>5</v>
      </c>
      <c r="B11" s="16">
        <v>0.5</v>
      </c>
      <c r="C11" s="16">
        <v>0.5</v>
      </c>
    </row>
    <row r="12" spans="1:14" x14ac:dyDescent="0.5">
      <c r="A12" s="2" t="s">
        <v>107</v>
      </c>
    </row>
    <row r="13" spans="1:14" ht="17.149999999999999" x14ac:dyDescent="0.75">
      <c r="A13" s="5" t="s">
        <v>68</v>
      </c>
      <c r="B13" s="5" t="s">
        <v>77</v>
      </c>
      <c r="C13" s="5" t="s">
        <v>78</v>
      </c>
      <c r="D13" s="5" t="s">
        <v>83</v>
      </c>
      <c r="E13" s="5" t="s">
        <v>88</v>
      </c>
      <c r="F13" s="5" t="s">
        <v>93</v>
      </c>
      <c r="G13" s="5" t="s">
        <v>98</v>
      </c>
      <c r="H13" s="6">
        <f>SUM(I13:N13)</f>
        <v>12</v>
      </c>
      <c r="I13" s="7">
        <v>9</v>
      </c>
      <c r="J13" s="7">
        <v>2</v>
      </c>
      <c r="K13" s="7">
        <v>1</v>
      </c>
      <c r="L13" s="7">
        <v>0</v>
      </c>
      <c r="M13" s="7">
        <v>0</v>
      </c>
      <c r="N13" s="7">
        <v>0</v>
      </c>
    </row>
    <row r="14" spans="1:14" ht="17.149999999999999" x14ac:dyDescent="0.75">
      <c r="A14" s="5" t="s">
        <v>72</v>
      </c>
      <c r="B14" s="5" t="s">
        <v>73</v>
      </c>
      <c r="C14" s="5" t="s">
        <v>79</v>
      </c>
      <c r="D14" s="5" t="s">
        <v>84</v>
      </c>
      <c r="E14" s="5" t="s">
        <v>89</v>
      </c>
      <c r="F14" s="5" t="s">
        <v>94</v>
      </c>
      <c r="G14" s="5" t="s">
        <v>99</v>
      </c>
      <c r="H14" s="6">
        <f>SUM(I14:N14)</f>
        <v>14</v>
      </c>
      <c r="I14" s="7">
        <v>8</v>
      </c>
      <c r="J14" s="7">
        <v>3</v>
      </c>
      <c r="K14" s="7">
        <v>2</v>
      </c>
      <c r="L14" s="7">
        <v>1</v>
      </c>
      <c r="M14" s="7">
        <v>0</v>
      </c>
      <c r="N14" s="7">
        <v>0</v>
      </c>
    </row>
    <row r="15" spans="1:14" ht="17.149999999999999" x14ac:dyDescent="0.75">
      <c r="A15" s="5" t="s">
        <v>69</v>
      </c>
      <c r="B15" s="5" t="s">
        <v>74</v>
      </c>
      <c r="C15" s="5" t="s">
        <v>80</v>
      </c>
      <c r="D15" s="5" t="s">
        <v>85</v>
      </c>
      <c r="E15" s="5" t="s">
        <v>90</v>
      </c>
      <c r="F15" s="5" t="s">
        <v>95</v>
      </c>
      <c r="G15" s="5" t="s">
        <v>100</v>
      </c>
      <c r="H15" s="6">
        <f>SUM(I15:N15)</f>
        <v>18</v>
      </c>
      <c r="I15" s="7">
        <v>0</v>
      </c>
      <c r="J15" s="7">
        <v>0</v>
      </c>
      <c r="K15" s="7">
        <v>3</v>
      </c>
      <c r="L15" s="7">
        <v>3</v>
      </c>
      <c r="M15" s="7">
        <v>4</v>
      </c>
      <c r="N15" s="7">
        <v>8</v>
      </c>
    </row>
    <row r="16" spans="1:14" ht="17.149999999999999" x14ac:dyDescent="0.75">
      <c r="A16" s="5" t="s">
        <v>70</v>
      </c>
      <c r="B16" s="5" t="s">
        <v>75</v>
      </c>
      <c r="C16" s="5" t="s">
        <v>81</v>
      </c>
      <c r="D16" s="5" t="s">
        <v>86</v>
      </c>
      <c r="E16" s="5" t="s">
        <v>91</v>
      </c>
      <c r="F16" s="5" t="s">
        <v>96</v>
      </c>
      <c r="G16" s="5" t="s">
        <v>101</v>
      </c>
      <c r="H16" s="6">
        <f>SUM(I16:N16)</f>
        <v>15</v>
      </c>
      <c r="I16" s="7">
        <v>0</v>
      </c>
      <c r="J16" s="7">
        <v>2</v>
      </c>
      <c r="K16" s="7">
        <v>0</v>
      </c>
      <c r="L16" s="7">
        <v>2</v>
      </c>
      <c r="M16" s="7">
        <v>4</v>
      </c>
      <c r="N16" s="7">
        <v>7</v>
      </c>
    </row>
    <row r="17" spans="1:14" ht="17.149999999999999" x14ac:dyDescent="0.75">
      <c r="A17" s="5" t="s">
        <v>71</v>
      </c>
      <c r="B17" s="5" t="s">
        <v>76</v>
      </c>
      <c r="C17" s="5" t="s">
        <v>82</v>
      </c>
      <c r="D17" s="5" t="s">
        <v>87</v>
      </c>
      <c r="E17" s="5" t="s">
        <v>92</v>
      </c>
      <c r="F17" s="5" t="s">
        <v>97</v>
      </c>
      <c r="G17" s="5" t="s">
        <v>102</v>
      </c>
      <c r="H17" s="6">
        <f>SUM(I17:N17)</f>
        <v>7</v>
      </c>
      <c r="I17" s="7">
        <v>2</v>
      </c>
      <c r="J17" s="7">
        <v>0</v>
      </c>
      <c r="K17" s="7">
        <v>1</v>
      </c>
      <c r="L17" s="7">
        <v>1</v>
      </c>
      <c r="M17" s="7">
        <v>0</v>
      </c>
      <c r="N17" s="7">
        <v>3</v>
      </c>
    </row>
    <row r="18" spans="1:14" x14ac:dyDescent="0.5">
      <c r="A18" t="s">
        <v>108</v>
      </c>
    </row>
    <row r="19" spans="1:14" ht="16.600000000000001" x14ac:dyDescent="0.7">
      <c r="A19" s="8" t="s">
        <v>0</v>
      </c>
      <c r="B19" s="8" t="s">
        <v>6</v>
      </c>
      <c r="C19" s="8" t="s">
        <v>7</v>
      </c>
      <c r="D19" s="10" t="s">
        <v>8</v>
      </c>
      <c r="E19" s="10" t="s">
        <v>9</v>
      </c>
      <c r="F19" s="10" t="s">
        <v>10</v>
      </c>
      <c r="G19" s="10" t="s">
        <v>11</v>
      </c>
      <c r="H19" s="10" t="s">
        <v>12</v>
      </c>
      <c r="I19" s="10" t="s">
        <v>13</v>
      </c>
      <c r="J19" s="10" t="s">
        <v>14</v>
      </c>
    </row>
    <row r="20" spans="1:14" ht="16.600000000000001" x14ac:dyDescent="0.7">
      <c r="A20" s="8" t="s">
        <v>1</v>
      </c>
      <c r="B20" s="9">
        <v>0.6</v>
      </c>
      <c r="C20" s="9">
        <v>0.4</v>
      </c>
      <c r="D20" s="10" t="s">
        <v>6</v>
      </c>
      <c r="E20" s="10">
        <v>0.4</v>
      </c>
      <c r="F20" s="10">
        <v>0.4</v>
      </c>
      <c r="G20" s="10">
        <v>0.6</v>
      </c>
      <c r="H20" s="10">
        <v>0.6</v>
      </c>
      <c r="I20" s="10">
        <v>0.7</v>
      </c>
      <c r="J20" s="10">
        <v>0.7</v>
      </c>
    </row>
    <row r="21" spans="1:14" ht="16.600000000000001" x14ac:dyDescent="0.7">
      <c r="A21" s="8" t="s">
        <v>2</v>
      </c>
      <c r="B21" s="9">
        <v>0.4</v>
      </c>
      <c r="C21" s="9">
        <v>0.6</v>
      </c>
      <c r="D21" s="10" t="s">
        <v>7</v>
      </c>
      <c r="E21" s="10">
        <v>0.6</v>
      </c>
      <c r="F21" s="10">
        <v>0.6</v>
      </c>
      <c r="G21" s="10">
        <v>0.4</v>
      </c>
      <c r="H21" s="10">
        <v>0.4</v>
      </c>
      <c r="I21" s="10">
        <v>0.3</v>
      </c>
      <c r="J21" s="10">
        <v>0.3</v>
      </c>
    </row>
    <row r="22" spans="1:14" ht="16.600000000000001" x14ac:dyDescent="0.7">
      <c r="A22" s="8" t="s">
        <v>3</v>
      </c>
      <c r="B22" s="9">
        <v>0.4</v>
      </c>
      <c r="C22" s="9">
        <v>0.6</v>
      </c>
    </row>
    <row r="23" spans="1:14" ht="16.600000000000001" x14ac:dyDescent="0.7">
      <c r="A23" s="8" t="s">
        <v>4</v>
      </c>
      <c r="B23" s="9">
        <v>0.6</v>
      </c>
      <c r="C23" s="9">
        <v>0.4</v>
      </c>
    </row>
    <row r="24" spans="1:14" ht="16.600000000000001" x14ac:dyDescent="0.7">
      <c r="A24" s="8" t="s">
        <v>5</v>
      </c>
      <c r="B24" s="9">
        <v>0.5</v>
      </c>
      <c r="C24" s="9">
        <v>0.5</v>
      </c>
    </row>
    <row r="25" spans="1:14" ht="16.600000000000001" x14ac:dyDescent="0.7">
      <c r="A25" s="11" t="s">
        <v>109</v>
      </c>
    </row>
    <row r="26" spans="1:14" x14ac:dyDescent="0.5">
      <c r="A26" s="12" t="s">
        <v>110</v>
      </c>
      <c r="B26" s="12" t="s">
        <v>19</v>
      </c>
      <c r="C26" s="12" t="s">
        <v>25</v>
      </c>
      <c r="D26" s="12" t="s">
        <v>20</v>
      </c>
      <c r="E26" s="12" t="s">
        <v>32</v>
      </c>
      <c r="F26" s="12" t="s">
        <v>36</v>
      </c>
      <c r="G26" s="18">
        <f>B20*E20/(B20*E20+C20*E21)</f>
        <v>0.5</v>
      </c>
      <c r="H26" s="18">
        <f>B20*F20/(B20*F20+C20*F21)</f>
        <v>0.5</v>
      </c>
      <c r="I26" s="18">
        <f>B20*G20/(B20*G20+C20*G21)</f>
        <v>0.69230769230769229</v>
      </c>
      <c r="J26" s="18">
        <f>B20*H20/(B20*H20+C20*H21)</f>
        <v>0.69230769230769229</v>
      </c>
      <c r="K26" s="18">
        <f>B20*I20/(B20*I20+C20*I21)</f>
        <v>0.77777777777777768</v>
      </c>
      <c r="L26" s="18">
        <f>B20*J20/(B20*J20+C20*J21)</f>
        <v>0.77777777777777768</v>
      </c>
    </row>
    <row r="27" spans="1:14" x14ac:dyDescent="0.5">
      <c r="A27" s="12" t="s">
        <v>15</v>
      </c>
      <c r="B27" s="12" t="s">
        <v>21</v>
      </c>
      <c r="C27" s="12" t="s">
        <v>26</v>
      </c>
      <c r="D27" s="12" t="s">
        <v>29</v>
      </c>
      <c r="E27" s="12" t="s">
        <v>33</v>
      </c>
      <c r="F27" s="12" t="s">
        <v>37</v>
      </c>
      <c r="G27" s="18">
        <f>B21*E20/(B21*E20+C21*E21)</f>
        <v>0.30769230769230776</v>
      </c>
      <c r="H27" s="18">
        <f>B21*F20/(B21*F20+C21*F21)</f>
        <v>0.30769230769230776</v>
      </c>
      <c r="I27" s="18">
        <f>B21*G20/(B21*G20+C21*G21)</f>
        <v>0.5</v>
      </c>
      <c r="J27" s="18">
        <f>B21*H20/(B21*H20+C21*H21)</f>
        <v>0.5</v>
      </c>
      <c r="K27" s="18">
        <f>B21*I20/(B21*I20+C21*I21)</f>
        <v>0.60869565217391308</v>
      </c>
      <c r="L27" s="18">
        <f>B21*J20/(B21*J20+C21*J21)</f>
        <v>0.60869565217391308</v>
      </c>
    </row>
    <row r="28" spans="1:14" x14ac:dyDescent="0.5">
      <c r="A28" s="12" t="s">
        <v>16</v>
      </c>
      <c r="B28" s="12" t="s">
        <v>22</v>
      </c>
      <c r="C28" s="12" t="s">
        <v>22</v>
      </c>
      <c r="D28" s="12" t="s">
        <v>30</v>
      </c>
      <c r="E28" s="12" t="s">
        <v>34</v>
      </c>
      <c r="F28" s="12" t="s">
        <v>38</v>
      </c>
      <c r="G28" s="18">
        <f>B22*E20/(B22*E20+C22*E21)</f>
        <v>0.30769230769230776</v>
      </c>
      <c r="H28" s="18">
        <f>B22*F20/(B22*F20+C22*F21)</f>
        <v>0.30769230769230776</v>
      </c>
      <c r="I28" s="18">
        <f>B22*G20/(B22*G20+C22*G21)</f>
        <v>0.5</v>
      </c>
      <c r="J28" s="18">
        <f>B22*H20/(B22*H20+C22*H21)</f>
        <v>0.5</v>
      </c>
      <c r="K28" s="18">
        <f>B22*I20/(B22*I20+C22*I21)</f>
        <v>0.60869565217391308</v>
      </c>
      <c r="L28" s="18">
        <f>B22*J20/(B22*J20+C22*J21)</f>
        <v>0.60869565217391308</v>
      </c>
    </row>
    <row r="29" spans="1:14" x14ac:dyDescent="0.5">
      <c r="A29" s="12" t="s">
        <v>17</v>
      </c>
      <c r="B29" s="12" t="s">
        <v>23</v>
      </c>
      <c r="C29" s="12" t="s">
        <v>27</v>
      </c>
      <c r="D29" s="12" t="s">
        <v>23</v>
      </c>
      <c r="E29" s="12" t="s">
        <v>35</v>
      </c>
      <c r="F29" s="12" t="s">
        <v>39</v>
      </c>
      <c r="G29" s="18">
        <f>B23*E20/(B23*E20+C23*E21)</f>
        <v>0.5</v>
      </c>
      <c r="H29" s="18">
        <f>B23*F20/(B23*F20+C23*F21)</f>
        <v>0.5</v>
      </c>
      <c r="I29" s="18">
        <f>B23*G20/(B23*G20+C23*G21)</f>
        <v>0.69230769230769229</v>
      </c>
      <c r="J29" s="18">
        <f>B23*H20/(B23*H20+C23*H21)</f>
        <v>0.69230769230769229</v>
      </c>
      <c r="K29" s="18">
        <f>B23*I20/(B23*I20+C23*I21)</f>
        <v>0.77777777777777768</v>
      </c>
      <c r="L29" s="18">
        <f>B23*J20/(B23*J20+C23*J21)</f>
        <v>0.77777777777777768</v>
      </c>
    </row>
    <row r="30" spans="1:14" x14ac:dyDescent="0.5">
      <c r="A30" s="12" t="s">
        <v>18</v>
      </c>
      <c r="B30" s="12" t="s">
        <v>24</v>
      </c>
      <c r="C30" s="12" t="s">
        <v>28</v>
      </c>
      <c r="D30" s="12" t="s">
        <v>31</v>
      </c>
      <c r="E30" s="12" t="s">
        <v>24</v>
      </c>
      <c r="F30" s="12" t="s">
        <v>40</v>
      </c>
      <c r="G30" s="18">
        <f>B24*E20/(B24*E20+C24*E21)</f>
        <v>0.4</v>
      </c>
      <c r="H30" s="18">
        <f>B24*F20/(B24*F20+C24*F21)</f>
        <v>0.4</v>
      </c>
      <c r="I30" s="18">
        <f>B24*G20/(B24*G20+C24*G21)</f>
        <v>0.6</v>
      </c>
      <c r="J30" s="18">
        <f>B24*H20/(B24*H20+C24*H21)</f>
        <v>0.6</v>
      </c>
      <c r="K30" s="18">
        <f>B24*I20/(B24*I20+C24*I21)</f>
        <v>0.7</v>
      </c>
      <c r="L30" s="18">
        <f>B24*J20/(B24*J20+C24*J21)</f>
        <v>0.7</v>
      </c>
    </row>
    <row r="31" spans="1:14" x14ac:dyDescent="0.5">
      <c r="A31" s="12" t="s">
        <v>41</v>
      </c>
      <c r="B31" s="12" t="s">
        <v>42</v>
      </c>
      <c r="C31" s="12" t="s">
        <v>43</v>
      </c>
      <c r="D31" s="12" t="s">
        <v>44</v>
      </c>
      <c r="E31" s="12" t="s">
        <v>45</v>
      </c>
      <c r="F31" s="12" t="s">
        <v>46</v>
      </c>
      <c r="G31" s="18">
        <f>C20*E21/(B20*E20+C20*E21)</f>
        <v>0.5</v>
      </c>
      <c r="H31" s="18">
        <f>C20*F21/(B20*F20+C20*F21)</f>
        <v>0.5</v>
      </c>
      <c r="I31" s="18">
        <f>C20*G21/(B20*G20+C20*G21)</f>
        <v>0.30769230769230776</v>
      </c>
      <c r="J31" s="18">
        <f>C20*H21/(B20*H20+C20*H21)</f>
        <v>0.30769230769230776</v>
      </c>
      <c r="K31" s="18">
        <f>C20*I21/(B20*I20+C20*I21)</f>
        <v>0.22222222222222221</v>
      </c>
      <c r="L31" s="18">
        <f>C20*J21/(B20*J20+C20*J21)</f>
        <v>0.22222222222222221</v>
      </c>
    </row>
    <row r="32" spans="1:14" x14ac:dyDescent="0.5">
      <c r="A32" s="12" t="s">
        <v>47</v>
      </c>
      <c r="B32" s="12" t="s">
        <v>48</v>
      </c>
      <c r="C32" s="12" t="s">
        <v>49</v>
      </c>
      <c r="D32" s="12" t="s">
        <v>50</v>
      </c>
      <c r="E32" s="12" t="s">
        <v>51</v>
      </c>
      <c r="F32" s="12" t="s">
        <v>52</v>
      </c>
      <c r="G32" s="18">
        <f>C21*E21/(B21*E20+C21*E21)</f>
        <v>0.69230769230769229</v>
      </c>
      <c r="H32" s="18">
        <f>C21*F21/(B21*F20+C21*F21)</f>
        <v>0.69230769230769229</v>
      </c>
      <c r="I32" s="18">
        <f>C21*G21/(B21*G20+C21*G21)</f>
        <v>0.5</v>
      </c>
      <c r="J32" s="18">
        <f>C21*H21/(B21*H20+C21*H21)</f>
        <v>0.5</v>
      </c>
      <c r="K32" s="18">
        <f>C21*I21/(B21*I20+C21*I21)</f>
        <v>0.39130434782608697</v>
      </c>
      <c r="L32" s="18">
        <f>C21*J21/(B21*J20+C21*J21)</f>
        <v>0.39130434782608697</v>
      </c>
    </row>
    <row r="33" spans="1:12" x14ac:dyDescent="0.5">
      <c r="A33" s="12" t="s">
        <v>53</v>
      </c>
      <c r="B33" s="12" t="s">
        <v>54</v>
      </c>
      <c r="C33" s="12" t="s">
        <v>54</v>
      </c>
      <c r="D33" s="12" t="s">
        <v>55</v>
      </c>
      <c r="E33" s="12" t="s">
        <v>56</v>
      </c>
      <c r="F33" s="12" t="s">
        <v>57</v>
      </c>
      <c r="G33" s="18">
        <f>C22*E21/(B22*E20+C22*E21)</f>
        <v>0.69230769230769229</v>
      </c>
      <c r="H33" s="18">
        <f>C22*F21/(B22*F20+C22*F21)</f>
        <v>0.69230769230769229</v>
      </c>
      <c r="I33" s="18">
        <f>C22*G21/(B22*G20+C22*G21)</f>
        <v>0.5</v>
      </c>
      <c r="J33" s="18">
        <f>C22*H21/(B22*H20+C22*H21)</f>
        <v>0.5</v>
      </c>
      <c r="K33" s="18">
        <f>C22*I21/(B22*I20+C22*I21)</f>
        <v>0.39130434782608697</v>
      </c>
      <c r="L33" s="18">
        <f>C22*J21/(B22*J20+C22*J21)</f>
        <v>0.39130434782608697</v>
      </c>
    </row>
    <row r="34" spans="1:12" x14ac:dyDescent="0.5">
      <c r="A34" s="12" t="s">
        <v>58</v>
      </c>
      <c r="B34" s="12" t="s">
        <v>59</v>
      </c>
      <c r="C34" s="12" t="s">
        <v>60</v>
      </c>
      <c r="D34" s="12" t="s">
        <v>59</v>
      </c>
      <c r="E34" s="12" t="s">
        <v>61</v>
      </c>
      <c r="F34" s="12" t="s">
        <v>62</v>
      </c>
      <c r="G34" s="18">
        <f>C23*E21/(B23*E20+C23*E21)</f>
        <v>0.5</v>
      </c>
      <c r="H34" s="18">
        <f>C23*F21/(B23*F20+C23*F21)</f>
        <v>0.5</v>
      </c>
      <c r="I34" s="18">
        <f>C23*G21/(B23*G20+C23*G21)</f>
        <v>0.30769230769230776</v>
      </c>
      <c r="J34" s="18">
        <f>C23*H21/(B23*H20+C23*H21)</f>
        <v>0.30769230769230776</v>
      </c>
      <c r="K34" s="18">
        <f>C23*I21/(B23*I20+C23*I21)</f>
        <v>0.22222222222222221</v>
      </c>
      <c r="L34" s="18">
        <f>C23*J21/(B23*J20+C23*J21)</f>
        <v>0.22222222222222221</v>
      </c>
    </row>
    <row r="35" spans="1:12" x14ac:dyDescent="0.5">
      <c r="A35" s="12" t="s">
        <v>63</v>
      </c>
      <c r="B35" s="12" t="s">
        <v>64</v>
      </c>
      <c r="C35" s="12" t="s">
        <v>65</v>
      </c>
      <c r="D35" s="12" t="s">
        <v>66</v>
      </c>
      <c r="E35" s="12" t="s">
        <v>64</v>
      </c>
      <c r="F35" s="12" t="s">
        <v>67</v>
      </c>
      <c r="G35" s="18">
        <f>C24*E21/(B24*E20+C24*E21)</f>
        <v>0.6</v>
      </c>
      <c r="H35" s="18">
        <f>C24*F21/(B24*F20+C24*F21)</f>
        <v>0.6</v>
      </c>
      <c r="I35" s="18">
        <f>C24*G21/(B24*G20+C24*G21)</f>
        <v>0.4</v>
      </c>
      <c r="J35" s="18">
        <f>C24*H21/(B24*H20+C24*H21)</f>
        <v>0.4</v>
      </c>
      <c r="K35" s="18">
        <f>C24*I21/(B24*I20+C24*I21)</f>
        <v>0.3</v>
      </c>
      <c r="L35" s="18">
        <f>C24*J21/(B24*J20+C24*J21)</f>
        <v>0.3</v>
      </c>
    </row>
    <row r="36" spans="1:12" x14ac:dyDescent="0.5">
      <c r="A36" t="s">
        <v>111</v>
      </c>
    </row>
    <row r="37" spans="1:12" ht="16.600000000000001" x14ac:dyDescent="0.7">
      <c r="A37" s="8" t="s">
        <v>0</v>
      </c>
      <c r="B37" s="8" t="s">
        <v>6</v>
      </c>
      <c r="C37" s="8" t="s">
        <v>7</v>
      </c>
      <c r="D37" s="13" t="s">
        <v>8</v>
      </c>
      <c r="E37" s="10" t="s">
        <v>9</v>
      </c>
      <c r="F37" s="10" t="s">
        <v>10</v>
      </c>
      <c r="G37" s="10" t="s">
        <v>11</v>
      </c>
      <c r="H37" s="10" t="s">
        <v>12</v>
      </c>
      <c r="I37" s="10" t="s">
        <v>13</v>
      </c>
      <c r="J37" s="10" t="s">
        <v>14</v>
      </c>
    </row>
    <row r="38" spans="1:12" ht="16.600000000000001" x14ac:dyDescent="0.7">
      <c r="A38" s="8" t="s">
        <v>1</v>
      </c>
      <c r="B38" s="15">
        <f>(G26*I13+H26*J13+I26*K13+J26*L13+K26*M13+L26*N13)/H13</f>
        <v>0.51602564102564108</v>
      </c>
      <c r="C38" s="15">
        <f>(G31*I13+H31*J13+I31*K13+J31*L13+K31*M13+L31*N13)/H13</f>
        <v>0.48397435897435898</v>
      </c>
      <c r="D38" s="13" t="s">
        <v>6</v>
      </c>
      <c r="E38" s="19">
        <f>(I13*G26+I14*G27+I15*G28+I16*G29+I17*G30)/(I13*G26+I14*G27+I15*G28+I16*G29+I17*G30+J13*H26+J14*H27+J15*H28+J16*H29+J17*H30+K13*I26+K14*I27+K15*I28+K16*I29+K17*I30+L13*J26+L14*J27+L15*J28+L16*J29+L17*J30+M13*K26+M14*K27+M15*K28+M16*K29+M17*K30+N13*L26+N14*L27+N15*L28+N16*L29+N17*L30)</f>
        <v>0.21310354749153404</v>
      </c>
      <c r="F38" s="19">
        <f>(J13*H26+J14*H27+J15*H28+J16*H29+J17*H30)/(I13*G26+I14*G27+I15*G28+I16*G29+I17*G30+J13*H26+J14*H27+J15*H28+J16*H29+J17*H30+K13*I26+K14*I27+K15*I28+K16*I29+K17*I30+L13*J26+L14*J27+L15*J28+L16*J29+L17*J30+M13*K26+M14*K27+M15*K28+M16*K29+M17*K30+N13*L26+N14*L27+N15*L28+N16*L29+N17*L30)</f>
        <v>8.0257034734175364E-2</v>
      </c>
      <c r="G38" s="19">
        <f>(K13*I26+K14*I27+K15*I28+K16*I29+K17*I30)/(I13*G26+I14*G27+I15*G28+I16*G29+I17*G30+J13*H26+J14*H27+J15*H28+J16*H29+J17*H30+K13*I26+K14*I27+K15*I28+K16*I29+K17*I30+L13*J26+L14*J27+L15*J28+L16*J29+L17*J30+M13*K26+M14*K27+M15*K28+M16*K29+M17*K30+N13*L26+N14*L27+N15*L28+N16*L29+N17*L30)</f>
        <v>0.10412294243144331</v>
      </c>
      <c r="H38" s="19">
        <f>(L13*J26+L14*J27+L15*J28+L16*J29+L17*J30)/(I13*G26+I14*G27+I15*G28+I16*G29+I17*G30+J13*H26+J14*H27+J15*H28+J16*H29+J17*H30+K13*I26+K14*I27+K15*I28+K16*I29+K17*I30+L13*J26+L14*J27+L15*J28+L16*J29+L17*J30+M13*K26+M14*K27+M15*K28+M16*K29+M17*K30+N13*L26+N14*L27+N15*L28+N16*L29+N17*L30)</f>
        <v>0.10940301050606009</v>
      </c>
      <c r="I38" s="19">
        <f>(M13*K26+M14*K27+M15*K28+M16*K29+M17*K30)/(I13*G26+I14*G27+I15*G28+I16*G29+I17*G30+J13*H26+J14*H27+J15*H28+J16*H29+J17*H30+K13*I26+K14*I27+K15*I28+K16*I29+K17*I30+L13*J26+L14*J27+L15*J28+L16*J29+L17*J30+M13*K26+M14*K27+M15*K28+M16*K29+M17*K30+N13*L26+N14*L27+N15*L28+N16*L29+N17*L30)</f>
        <v>0.1522700211508814</v>
      </c>
      <c r="J38" s="19">
        <f>(N13*L26+N14*L27+N15*L28+N16*L29+N17*L30)/(I13*G26+I14*G27+I15*G28+I16*G29+I17*G30+J13*H26+J14*H27+J15*H28+J16*H29+J17*H30+K13*I26+K14*I27+K15*I28+K16*I29+K17*I30+L13*J26+L14*J27+L15*J28+L16*J29+L17*J30+M13*K26+M14*K27+M15*K28+M16*K29+M17*K30+N13*L26+N14*L27+N15*L28+N16*L29+N17*L30)</f>
        <v>0.3408434436859058</v>
      </c>
    </row>
    <row r="39" spans="1:12" ht="16.600000000000001" x14ac:dyDescent="0.7">
      <c r="A39" s="8" t="s">
        <v>2</v>
      </c>
      <c r="B39" s="15">
        <f>(G27*I14+H27*J14+I27*K14+J27*L14+K27*M14+L27*N14)/H14</f>
        <v>0.34890109890109894</v>
      </c>
      <c r="C39" s="15">
        <f>(G32*I14+H32*J14+I32*K14+J32*L14+K32*M14+L32*N14)/H14</f>
        <v>0.65109890109890112</v>
      </c>
      <c r="D39" s="13" t="s">
        <v>7</v>
      </c>
      <c r="E39" s="19">
        <f>(I13*G31+I14*G32+I15*G33+I16*G34+I17*G35)/(I13*G31+I14*G32+I15*G33+I16*G34+I17*G35+J13*H31+J14*H32+J15*H33+J16*H34+J17*H35+K13*I31+K14*I32+K15*I33+K16*I34+K17*I35+L13*J31+L14*J32+L15*J33+L16*J34+L17*J35+M13*K31+M14*K32+M15*K33+M16*K34+M17*K35+N13*L31+N14*L32+N15*L33+N16*L34+N17*L35)</f>
        <v>0.37995298752825213</v>
      </c>
      <c r="F39" s="19">
        <f>(J13*H31+J14*H32+J15*H33+J16*H34+J17*H35)/(I13*G31+I14*G32+I15*G33+I16*G34+I17*G35+J13*H31+J14*H32+J15*H33+J16*H34+J17*H35+K13*I31+K14*I32+K15*I33+K16*I34+K17*I35+L13*J31+L14*J32+L15*J33+L16*J34+L17*J35+M13*K31+M14*K32+M15*K33+M16*K34+M17*K35+N13*L31+N14*L32+N15*L33+N16*L34+N17*L35)</f>
        <v>0.13783373264200796</v>
      </c>
      <c r="G39" s="19">
        <f>(K13*I31+K14*I32+K15*I33+K16*I34+K17*I35)/(I13*G31+I14*G32+I15*G33+I16*G34+I17*G35+J13*H31+J14*H32+J15*H33+J16*H34+J17*H35+K13*I31+K14*I32+K15*I33+K16*I34+K17*I35+L13*J31+L14*J32+L15*J33+L16*J34+L17*J35+M13*K31+M14*K32+M15*K33+M16*K34+M17*K35+N13*L31+N14*L32+N15*L33+N16*L34+N17*L35)</f>
        <v>0.10844654058814589</v>
      </c>
      <c r="H39" s="19">
        <f>(L13*J31+L14*J32+L15*J33+L16*J34+L17*J35)/(I13*G31+I14*G32+I15*G33+I16*G34+I17*G35+J13*H31+J14*H32+J15*H33+J16*H34+J17*H35+K13*I31+K14*I32+K15*I33+K16*I34+K17*I35+L13*J31+L14*J32+L15*J33+L16*J34+L17*J35+M13*K31+M14*K32+M15*K33+M16*K34+M17*K35+N13*L31+N14*L32+N15*L33+N16*L34+N17*L35)</f>
        <v>0.10194494942578702</v>
      </c>
      <c r="I39" s="19">
        <f>(M13*K31+M14*K32+M15*K33+M16*K34+M17*K35)/(I13*G31+I14*G32+I15*G33+I16*G34+I17*G35+J13*H31+J14*H32+J15*H33+J16*H34+J17*H35+K13*I31+K14*I32+K15*I33+K16*I34+K17*I35+L13*J31+L14*J32+L15*J33+L16*J34+L17*J35+M13*K31+M14*K32+M15*K33+M16*K34+M17*K35+N13*L31+N14*L32+N15*L33+N16*L34+N17*L35)</f>
        <v>8.2969097654527452E-2</v>
      </c>
      <c r="J39" s="19">
        <f>(N13*L31+N14*L32+N15*L33+N16*L34+N17*L35)/(I13*G31+I14*G32+I15*G33+I16*G34+I17*G35+J13*H31+J14*H32+J15*H33+J16*H34+J17*H35+K13*I31+K14*I32+K15*I33+K16*I34+K17*I35+L13*J31+L14*J32+L15*J33+L16*J34+L17*J35+M13*K31+M14*K32+M15*K33+M16*K34+M17*K35+N13*L31+N14*L32+N15*L33+N16*L34+N17*L35)</f>
        <v>0.1888526921612797</v>
      </c>
    </row>
    <row r="40" spans="1:12" ht="16.600000000000001" x14ac:dyDescent="0.7">
      <c r="A40" s="8" t="s">
        <v>3</v>
      </c>
      <c r="B40" s="15">
        <f>(G28*I15+H28*J15+I28*K15+J28*L15+K28*M15+L28*N15)/H15</f>
        <v>0.57246376811594202</v>
      </c>
      <c r="C40" s="15">
        <f>(G33*I15+H33*J15+I33*K15+J33*L15+K33*M15+L33*N15)/H15</f>
        <v>0.42753623188405793</v>
      </c>
    </row>
    <row r="41" spans="1:12" ht="16.600000000000001" x14ac:dyDescent="0.7">
      <c r="A41" s="8" t="s">
        <v>4</v>
      </c>
      <c r="B41" s="15">
        <f>(G29*I16+H29*J16+I29*K16+J29*L16+K29*M16+L29*N16)/H16</f>
        <v>0.72934472934472938</v>
      </c>
      <c r="C41" s="15">
        <f>(G34*I16+H34*J16+I34*K16+J34*L16+K34*M16+L34*N16)/H16</f>
        <v>0.27065527065527062</v>
      </c>
    </row>
    <row r="42" spans="1:12" ht="16.600000000000001" x14ac:dyDescent="0.7">
      <c r="A42" s="8" t="s">
        <v>5</v>
      </c>
      <c r="B42" s="15">
        <f>(G30*I17+H30*J17+I30*K17+J30*L17+K30*M17+L30*N17)/H17</f>
        <v>0.58571428571428563</v>
      </c>
      <c r="C42" s="15">
        <f>(G35*I17+H35*J17+I35*K17+J35*L17+K35*M17+L35*N17)/H17</f>
        <v>0.41428571428571426</v>
      </c>
    </row>
    <row r="44" spans="1:12" ht="16.600000000000001" x14ac:dyDescent="0.7">
      <c r="A44" s="14" t="s">
        <v>112</v>
      </c>
      <c r="B44" s="20">
        <f>SUM(B38:B42)/SUM(B38:C42)</f>
        <v>0.55048990462033931</v>
      </c>
      <c r="C44" s="1"/>
    </row>
    <row r="45" spans="1:12" ht="16.600000000000001" x14ac:dyDescent="0.7">
      <c r="A45" s="14" t="s">
        <v>113</v>
      </c>
      <c r="B45" s="20">
        <f>SUM(C38:C42)/SUM(B38:C42)</f>
        <v>0.44951009537966052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 sizeWithCells="1">
                  <from>
                    <xdr:col>10</xdr:col>
                    <xdr:colOff>232229</xdr:colOff>
                    <xdr:row>18</xdr:row>
                    <xdr:rowOff>119743</xdr:rowOff>
                  </from>
                  <to>
                    <xdr:col>12</xdr:col>
                    <xdr:colOff>355600</xdr:colOff>
                    <xdr:row>21</xdr:row>
                    <xdr:rowOff>58057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按钮2_Click">
                <anchor moveWithCells="1" sizeWithCells="1">
                  <from>
                    <xdr:col>13</xdr:col>
                    <xdr:colOff>47171</xdr:colOff>
                    <xdr:row>18</xdr:row>
                    <xdr:rowOff>101600</xdr:rowOff>
                  </from>
                  <to>
                    <xdr:col>16</xdr:col>
                    <xdr:colOff>14514</xdr:colOff>
                    <xdr:row>21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2020PLSA(run)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2015-06-05T18:19:34Z</dcterms:created>
  <dcterms:modified xsi:type="dcterms:W3CDTF">2022-02-11T04:34:59Z</dcterms:modified>
</cp:coreProperties>
</file>