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2021-07-18《数据科学概论》new plan\Chapter-Addon\"/>
    </mc:Choice>
  </mc:AlternateContent>
  <xr:revisionPtr revIDLastSave="0" documentId="13_ncr:1_{CE4028ED-C6F2-493A-9119-93FA397FB038}" xr6:coauthVersionLast="36" xr6:coauthVersionMax="36" xr10:uidLastSave="{00000000-0000-0000-0000-000000000000}"/>
  <bookViews>
    <workbookView xWindow="320" yWindow="206" windowWidth="22720" windowHeight="12303" xr2:uid="{00000000-000D-0000-FFFF-FFFF00000000}"/>
  </bookViews>
  <sheets>
    <sheet name="2020混合高斯分布之EM算法(run)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B24" i="1" l="1"/>
  <c r="C6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12" i="1"/>
  <c r="J13" i="1" l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F14" i="1"/>
  <c r="F15" i="1"/>
  <c r="F16" i="1"/>
  <c r="F17" i="1"/>
  <c r="F18" i="1"/>
  <c r="F19" i="1"/>
  <c r="F12" i="1"/>
  <c r="J12" i="1"/>
  <c r="K12" i="1" s="1"/>
  <c r="G12" i="1"/>
  <c r="H12" i="1" s="1"/>
  <c r="L21" i="1" l="1"/>
  <c r="L20" i="1"/>
  <c r="I20" i="1"/>
  <c r="I19" i="1"/>
  <c r="I18" i="1"/>
  <c r="L19" i="1"/>
  <c r="L18" i="1"/>
  <c r="I17" i="1"/>
  <c r="I9" i="1"/>
  <c r="F13" i="1"/>
  <c r="L14" i="1"/>
  <c r="L13" i="1"/>
  <c r="L17" i="1"/>
  <c r="L16" i="1"/>
  <c r="F21" i="1"/>
  <c r="L15" i="1"/>
  <c r="F20" i="1"/>
  <c r="L12" i="1"/>
  <c r="D12" i="1"/>
  <c r="E18" i="1" l="1"/>
  <c r="I7" i="1"/>
  <c r="E19" i="1"/>
  <c r="E20" i="1"/>
  <c r="E17" i="1"/>
  <c r="E16" i="1"/>
  <c r="I16" i="1"/>
  <c r="E15" i="1"/>
  <c r="I15" i="1"/>
  <c r="I8" i="1"/>
  <c r="I21" i="1"/>
  <c r="E21" i="1"/>
  <c r="I13" i="1"/>
  <c r="E13" i="1"/>
  <c r="I14" i="1"/>
  <c r="E14" i="1"/>
  <c r="E12" i="1"/>
  <c r="I12" i="1"/>
  <c r="I6" i="1" l="1"/>
  <c r="I5" i="1"/>
</calcChain>
</file>

<file path=xl/sharedStrings.xml><?xml version="1.0" encoding="utf-8"?>
<sst xmlns="http://schemas.openxmlformats.org/spreadsheetml/2006/main" count="16" uniqueCount="16">
  <si>
    <t>编号</t>
    <phoneticPr fontId="1" type="noConversion"/>
  </si>
  <si>
    <t>身高</t>
    <phoneticPr fontId="1" type="noConversion"/>
  </si>
  <si>
    <t>1，问题的提出：有男生、女生身高数据，混合在一块了。现在要把他们分开。已经知道两者都符合高斯分布。</t>
    <phoneticPr fontId="1" type="noConversion"/>
  </si>
  <si>
    <t>2，采用EM算法解决该问题，具体细节请参考《数据科学概论》教材</t>
    <phoneticPr fontId="1" type="noConversion"/>
  </si>
  <si>
    <t>3，运行如下实例的过程是（1）点击初始化按钮，对参数进行初始化（2)连续点击迭代按钮，一直到算法收敛</t>
    <phoneticPr fontId="1" type="noConversion"/>
  </si>
  <si>
    <t>4，结果解读：每个身高后面，都有一个该身高属于男生还是女生的概率；而且两个高斯分布的均值和方差也计算出来了</t>
    <phoneticPr fontId="1" type="noConversion"/>
  </si>
  <si>
    <t>初始参数</t>
    <phoneticPr fontId="1" type="noConversion"/>
  </si>
  <si>
    <t>迭代参数</t>
    <phoneticPr fontId="1" type="noConversion"/>
  </si>
  <si>
    <t>修正用参数</t>
    <phoneticPr fontId="1" type="noConversion"/>
  </si>
  <si>
    <t>样本的标准差</t>
    <phoneticPr fontId="1" type="noConversion"/>
  </si>
  <si>
    <t>样本1</t>
    <phoneticPr fontId="1" type="noConversion"/>
  </si>
  <si>
    <t>样本2</t>
    <phoneticPr fontId="1" type="noConversion"/>
  </si>
  <si>
    <t>注意：需要迭代25次</t>
    <phoneticPr fontId="1" type="noConversion"/>
  </si>
  <si>
    <t>男生概率</t>
    <phoneticPr fontId="1" type="noConversion"/>
  </si>
  <si>
    <t>女生概率</t>
    <phoneticPr fontId="1" type="noConversion"/>
  </si>
  <si>
    <t>注意，迭代参数即最终结果的模型参数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</si>
</sst>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_ 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2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0" borderId="1" xfId="0" applyFont="1" applyBorder="1"/>
    <xf numFmtId="0" fontId="0" fillId="7" borderId="1" xfId="0" applyFill="1" applyBorder="1"/>
    <xf numFmtId="176" fontId="0" fillId="3" borderId="1" xfId="0" applyNumberFormat="1" applyFill="1" applyBorder="1"/>
    <xf numFmtId="176" fontId="0" fillId="4" borderId="1" xfId="0" applyNumberFormat="1" applyFill="1" applyBorder="1"/>
    <xf numFmtId="176" fontId="0" fillId="5" borderId="1" xfId="0" applyNumberFormat="1" applyFill="1" applyBorder="1"/>
    <xf numFmtId="177" fontId="0" fillId="6" borderId="1" xfId="0" applyNumberFormat="1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358140</xdr:colOff>
      <xdr:row>8</xdr:row>
      <xdr:rowOff>11430</xdr:rowOff>
    </xdr:from>
    <xdr:to>
      <xdr:col>4</xdr:col>
      <xdr:colOff>438719</xdr:colOff>
      <xdr:row>8</xdr:row>
      <xdr:rowOff>169085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1443990"/>
          <a:ext cx="80579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358140</xdr:colOff>
      <xdr:row>4</xdr:row>
      <xdr:rowOff>11430</xdr:rowOff>
    </xdr:from>
    <xdr:to>
      <xdr:col>4</xdr:col>
      <xdr:colOff>487768</xdr:colOff>
      <xdr:row>4</xdr:row>
      <xdr:rowOff>169085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727710"/>
          <a:ext cx="129628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358140</xdr:colOff>
      <xdr:row>6</xdr:row>
      <xdr:rowOff>11430</xdr:rowOff>
    </xdr:from>
    <xdr:to>
      <xdr:col>4</xdr:col>
      <xdr:colOff>491271</xdr:colOff>
      <xdr:row>6</xdr:row>
      <xdr:rowOff>169085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1085850"/>
          <a:ext cx="133131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358140</xdr:colOff>
      <xdr:row>5</xdr:row>
      <xdr:rowOff>11430</xdr:rowOff>
    </xdr:from>
    <xdr:to>
      <xdr:col>4</xdr:col>
      <xdr:colOff>505285</xdr:colOff>
      <xdr:row>5</xdr:row>
      <xdr:rowOff>172589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906780"/>
          <a:ext cx="147145" cy="161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358140</xdr:colOff>
      <xdr:row>7</xdr:row>
      <xdr:rowOff>11430</xdr:rowOff>
    </xdr:from>
    <xdr:to>
      <xdr:col>4</xdr:col>
      <xdr:colOff>505285</xdr:colOff>
      <xdr:row>7</xdr:row>
      <xdr:rowOff>172589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380" y="1264920"/>
          <a:ext cx="147145" cy="161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415290</xdr:colOff>
      <xdr:row>8</xdr:row>
      <xdr:rowOff>11430</xdr:rowOff>
    </xdr:from>
    <xdr:to>
      <xdr:col>1</xdr:col>
      <xdr:colOff>495869</xdr:colOff>
      <xdr:row>8</xdr:row>
      <xdr:rowOff>169085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443990"/>
          <a:ext cx="80579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407670</xdr:colOff>
      <xdr:row>4</xdr:row>
      <xdr:rowOff>3810</xdr:rowOff>
    </xdr:from>
    <xdr:to>
      <xdr:col>1</xdr:col>
      <xdr:colOff>537298</xdr:colOff>
      <xdr:row>4</xdr:row>
      <xdr:rowOff>161465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230" y="720090"/>
          <a:ext cx="129628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415290</xdr:colOff>
      <xdr:row>6</xdr:row>
      <xdr:rowOff>11430</xdr:rowOff>
    </xdr:from>
    <xdr:to>
      <xdr:col>1</xdr:col>
      <xdr:colOff>548421</xdr:colOff>
      <xdr:row>6</xdr:row>
      <xdr:rowOff>169085</xdr:rowOff>
    </xdr:to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085850"/>
          <a:ext cx="133131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415290</xdr:colOff>
      <xdr:row>5</xdr:row>
      <xdr:rowOff>11430</xdr:rowOff>
    </xdr:from>
    <xdr:to>
      <xdr:col>1</xdr:col>
      <xdr:colOff>562435</xdr:colOff>
      <xdr:row>5</xdr:row>
      <xdr:rowOff>172589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906780"/>
          <a:ext cx="147145" cy="161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415290</xdr:colOff>
      <xdr:row>7</xdr:row>
      <xdr:rowOff>11430</xdr:rowOff>
    </xdr:from>
    <xdr:to>
      <xdr:col>1</xdr:col>
      <xdr:colOff>562435</xdr:colOff>
      <xdr:row>7</xdr:row>
      <xdr:rowOff>172589</xdr:rowOff>
    </xdr:to>
    <xdr:pic>
      <xdr:nvPicPr>
        <xdr:cNvPr id="27" name="图片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264920"/>
          <a:ext cx="147145" cy="161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79829</xdr:colOff>
          <xdr:row>4</xdr:row>
          <xdr:rowOff>116114</xdr:rowOff>
        </xdr:from>
        <xdr:to>
          <xdr:col>9</xdr:col>
          <xdr:colOff>1284514</xdr:colOff>
          <xdr:row>7</xdr:row>
          <xdr:rowOff>97971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(1)初始化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54429</xdr:colOff>
          <xdr:row>4</xdr:row>
          <xdr:rowOff>61686</xdr:rowOff>
        </xdr:from>
        <xdr:to>
          <xdr:col>11</xdr:col>
          <xdr:colOff>475343</xdr:colOff>
          <xdr:row>7</xdr:row>
          <xdr:rowOff>83457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(2)迭代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2</xdr:col>
      <xdr:colOff>108607</xdr:colOff>
      <xdr:row>10</xdr:row>
      <xdr:rowOff>157655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" y="2148840"/>
          <a:ext cx="108607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10</xdr:row>
      <xdr:rowOff>0</xdr:rowOff>
    </xdr:from>
    <xdr:to>
      <xdr:col>4</xdr:col>
      <xdr:colOff>564055</xdr:colOff>
      <xdr:row>10</xdr:row>
      <xdr:rowOff>157655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2148840"/>
          <a:ext cx="564055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10</xdr:row>
      <xdr:rowOff>0</xdr:rowOff>
    </xdr:from>
    <xdr:to>
      <xdr:col>3</xdr:col>
      <xdr:colOff>339834</xdr:colOff>
      <xdr:row>10</xdr:row>
      <xdr:rowOff>157655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1680" y="2148840"/>
          <a:ext cx="339834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10</xdr:row>
      <xdr:rowOff>0</xdr:rowOff>
    </xdr:from>
    <xdr:to>
      <xdr:col>5</xdr:col>
      <xdr:colOff>220717</xdr:colOff>
      <xdr:row>10</xdr:row>
      <xdr:rowOff>157655</xdr:rowOff>
    </xdr:to>
    <xdr:pic>
      <xdr:nvPicPr>
        <xdr:cNvPr id="31" name="图片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2148840"/>
          <a:ext cx="220717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10</xdr:row>
      <xdr:rowOff>0</xdr:rowOff>
    </xdr:from>
    <xdr:to>
      <xdr:col>7</xdr:col>
      <xdr:colOff>574566</xdr:colOff>
      <xdr:row>10</xdr:row>
      <xdr:rowOff>157655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3920" y="2148840"/>
          <a:ext cx="574566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10</xdr:row>
      <xdr:rowOff>0</xdr:rowOff>
    </xdr:from>
    <xdr:to>
      <xdr:col>6</xdr:col>
      <xdr:colOff>402897</xdr:colOff>
      <xdr:row>10</xdr:row>
      <xdr:rowOff>157655</xdr:rowOff>
    </xdr:to>
    <xdr:pic>
      <xdr:nvPicPr>
        <xdr:cNvPr id="33" name="图片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3360" y="2148840"/>
          <a:ext cx="402897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24524</xdr:colOff>
      <xdr:row>10</xdr:row>
      <xdr:rowOff>157655</xdr:rowOff>
    </xdr:to>
    <xdr:pic>
      <xdr:nvPicPr>
        <xdr:cNvPr id="34" name="图片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1190" y="2148840"/>
          <a:ext cx="1060844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10</xdr:row>
      <xdr:rowOff>0</xdr:rowOff>
    </xdr:from>
    <xdr:to>
      <xdr:col>9</xdr:col>
      <xdr:colOff>406400</xdr:colOff>
      <xdr:row>10</xdr:row>
      <xdr:rowOff>157655</xdr:rowOff>
    </xdr:to>
    <xdr:pic>
      <xdr:nvPicPr>
        <xdr:cNvPr id="35" name="图片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7510" y="2148840"/>
          <a:ext cx="406400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10</xdr:row>
      <xdr:rowOff>0</xdr:rowOff>
    </xdr:from>
    <xdr:to>
      <xdr:col>10</xdr:col>
      <xdr:colOff>578069</xdr:colOff>
      <xdr:row>10</xdr:row>
      <xdr:rowOff>157655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1970" y="2148840"/>
          <a:ext cx="578069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10</xdr:row>
      <xdr:rowOff>0</xdr:rowOff>
    </xdr:from>
    <xdr:to>
      <xdr:col>11</xdr:col>
      <xdr:colOff>683172</xdr:colOff>
      <xdr:row>10</xdr:row>
      <xdr:rowOff>157655</xdr:rowOff>
    </xdr:to>
    <xdr:pic>
      <xdr:nvPicPr>
        <xdr:cNvPr id="37" name="图片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2148840"/>
          <a:ext cx="683172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624840</xdr:colOff>
      <xdr:row>7</xdr:row>
      <xdr:rowOff>167640</xdr:rowOff>
    </xdr:from>
    <xdr:to>
      <xdr:col>7</xdr:col>
      <xdr:colOff>705419</xdr:colOff>
      <xdr:row>8</xdr:row>
      <xdr:rowOff>146225</xdr:rowOff>
    </xdr:to>
    <xdr:pic>
      <xdr:nvPicPr>
        <xdr:cNvPr id="38" name="图片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8760" y="1421130"/>
          <a:ext cx="80579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624840</xdr:colOff>
      <xdr:row>3</xdr:row>
      <xdr:rowOff>167640</xdr:rowOff>
    </xdr:from>
    <xdr:to>
      <xdr:col>7</xdr:col>
      <xdr:colOff>754468</xdr:colOff>
      <xdr:row>4</xdr:row>
      <xdr:rowOff>146225</xdr:rowOff>
    </xdr:to>
    <xdr:pic>
      <xdr:nvPicPr>
        <xdr:cNvPr id="39" name="图片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8760" y="704850"/>
          <a:ext cx="129628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624840</xdr:colOff>
      <xdr:row>5</xdr:row>
      <xdr:rowOff>167640</xdr:rowOff>
    </xdr:from>
    <xdr:to>
      <xdr:col>7</xdr:col>
      <xdr:colOff>757971</xdr:colOff>
      <xdr:row>6</xdr:row>
      <xdr:rowOff>146225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8760" y="1062990"/>
          <a:ext cx="133131" cy="15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624840</xdr:colOff>
      <xdr:row>4</xdr:row>
      <xdr:rowOff>167640</xdr:rowOff>
    </xdr:from>
    <xdr:to>
      <xdr:col>7</xdr:col>
      <xdr:colOff>771985</xdr:colOff>
      <xdr:row>5</xdr:row>
      <xdr:rowOff>149729</xdr:rowOff>
    </xdr:to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8760" y="883920"/>
          <a:ext cx="147145" cy="161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624840</xdr:colOff>
      <xdr:row>6</xdr:row>
      <xdr:rowOff>167640</xdr:rowOff>
    </xdr:from>
    <xdr:to>
      <xdr:col>7</xdr:col>
      <xdr:colOff>771985</xdr:colOff>
      <xdr:row>7</xdr:row>
      <xdr:rowOff>149729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8760" y="1242060"/>
          <a:ext cx="147145" cy="161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80010</xdr:colOff>
      <xdr:row>4</xdr:row>
      <xdr:rowOff>167640</xdr:rowOff>
    </xdr:from>
    <xdr:to>
      <xdr:col>3</xdr:col>
      <xdr:colOff>560070</xdr:colOff>
      <xdr:row>7</xdr:row>
      <xdr:rowOff>114300</xdr:rowOff>
    </xdr:to>
    <xdr:sp macro="" textlink="">
      <xdr:nvSpPr>
        <xdr:cNvPr id="2" name="箭头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27910" y="883920"/>
          <a:ext cx="480060" cy="48387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9</xdr:col>
      <xdr:colOff>19050</xdr:colOff>
      <xdr:row>7</xdr:row>
      <xdr:rowOff>68580</xdr:rowOff>
    </xdr:from>
    <xdr:to>
      <xdr:col>9</xdr:col>
      <xdr:colOff>655320</xdr:colOff>
      <xdr:row>9</xdr:row>
      <xdr:rowOff>163830</xdr:rowOff>
    </xdr:to>
    <xdr:sp macro="" textlink="">
      <xdr:nvSpPr>
        <xdr:cNvPr id="3" name="箭头: 左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425690">
          <a:off x="7002780" y="1322070"/>
          <a:ext cx="636270" cy="45339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</a:t>
          </a:r>
          <a:endParaRPr lang="zh-CN" altLang="en-US" sz="1100"/>
        </a:p>
      </xdr:txBody>
    </xdr:sp>
    <xdr:clientData/>
  </xdr:twoCellAnchor>
  <xdr:twoCellAnchor>
    <xdr:from>
      <xdr:col>6</xdr:col>
      <xdr:colOff>80010</xdr:colOff>
      <xdr:row>4</xdr:row>
      <xdr:rowOff>167640</xdr:rowOff>
    </xdr:from>
    <xdr:to>
      <xdr:col>6</xdr:col>
      <xdr:colOff>571500</xdr:colOff>
      <xdr:row>7</xdr:row>
      <xdr:rowOff>83820</xdr:rowOff>
    </xdr:to>
    <xdr:sp macro="" textlink="">
      <xdr:nvSpPr>
        <xdr:cNvPr id="45" name="箭头: 左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4339590" y="883920"/>
          <a:ext cx="491490" cy="45339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4</a:t>
          </a:r>
          <a:endParaRPr lang="zh-CN" altLang="en-US" sz="1100"/>
        </a:p>
      </xdr:txBody>
    </xdr:sp>
    <xdr:clientData/>
  </xdr:twoCellAnchor>
  <xdr:twoCellAnchor>
    <xdr:from>
      <xdr:col>3</xdr:col>
      <xdr:colOff>297180</xdr:colOff>
      <xdr:row>7</xdr:row>
      <xdr:rowOff>99060</xdr:rowOff>
    </xdr:from>
    <xdr:to>
      <xdr:col>4</xdr:col>
      <xdr:colOff>80010</xdr:colOff>
      <xdr:row>10</xdr:row>
      <xdr:rowOff>53340</xdr:rowOff>
    </xdr:to>
    <xdr:sp macro="" textlink="">
      <xdr:nvSpPr>
        <xdr:cNvPr id="46" name="箭头: 左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18589594">
          <a:off x="2526030" y="1371600"/>
          <a:ext cx="491490" cy="45339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6"/>
  <sheetViews>
    <sheetView tabSelected="1" workbookViewId="0">
      <selection activeCell="G24" sqref="G24"/>
    </sheetView>
  </sheetViews>
  <sheetFormatPr defaultRowHeight="14" x14ac:dyDescent="0.5"/>
  <cols>
    <col min="1" max="1" width="11.90234375" customWidth="1"/>
    <col min="3" max="4" width="8.85546875" bestFit="1" customWidth="1"/>
    <col min="5" max="6" width="9.80859375" bestFit="1" customWidth="1"/>
    <col min="7" max="7" width="10.1875" bestFit="1" customWidth="1"/>
    <col min="8" max="8" width="13.37890625" bestFit="1" customWidth="1"/>
    <col min="9" max="9" width="13.6640625" bestFit="1" customWidth="1"/>
    <col min="10" max="10" width="18.28515625" customWidth="1"/>
    <col min="11" max="11" width="16.6640625" customWidth="1"/>
    <col min="12" max="12" width="12.09375" bestFit="1" customWidth="1"/>
  </cols>
  <sheetData>
    <row r="1" spans="1:12" x14ac:dyDescent="0.5">
      <c r="A1" t="s">
        <v>2</v>
      </c>
    </row>
    <row r="2" spans="1:12" x14ac:dyDescent="0.5">
      <c r="A2" t="s">
        <v>3</v>
      </c>
    </row>
    <row r="3" spans="1:12" x14ac:dyDescent="0.5">
      <c r="A3" t="s">
        <v>4</v>
      </c>
      <c r="J3" s="6" t="s">
        <v>12</v>
      </c>
    </row>
    <row r="4" spans="1:12" x14ac:dyDescent="0.5">
      <c r="A4" t="s">
        <v>5</v>
      </c>
    </row>
    <row r="5" spans="1:12" x14ac:dyDescent="0.5">
      <c r="A5" t="s">
        <v>6</v>
      </c>
      <c r="B5" s="2"/>
      <c r="C5" s="8">
        <v>176</v>
      </c>
      <c r="D5" t="s">
        <v>7</v>
      </c>
      <c r="E5" s="3"/>
      <c r="F5" s="9">
        <v>174.36038132975264</v>
      </c>
      <c r="G5" t="s">
        <v>8</v>
      </c>
      <c r="H5" s="4"/>
      <c r="I5" s="10">
        <f>SUM(E12:E21)/SUM(D12:D21)</f>
        <v>174.35758121275188</v>
      </c>
    </row>
    <row r="6" spans="1:12" x14ac:dyDescent="0.5">
      <c r="B6" s="2"/>
      <c r="C6" s="8">
        <f>B24*B24</f>
        <v>3.1222222222222222</v>
      </c>
      <c r="E6" s="3"/>
      <c r="F6" s="9">
        <v>0.90360671545147175</v>
      </c>
      <c r="H6" s="4"/>
      <c r="I6" s="10">
        <f>SQRT(SUM(I12:I21)/SUM(D12:D21))</f>
        <v>0.90162046961521192</v>
      </c>
    </row>
    <row r="7" spans="1:12" x14ac:dyDescent="0.5">
      <c r="B7" s="2"/>
      <c r="C7" s="8">
        <v>178</v>
      </c>
      <c r="E7" s="3"/>
      <c r="F7" s="9">
        <v>177.28387441898289</v>
      </c>
      <c r="H7" s="4"/>
      <c r="I7" s="10">
        <f>SUM(F12:F21)/SUM(C12:C21)</f>
        <v>177.28094503070173</v>
      </c>
    </row>
    <row r="8" spans="1:12" x14ac:dyDescent="0.5">
      <c r="B8" s="2"/>
      <c r="C8" s="8">
        <f>B24*B24</f>
        <v>3.1222222222222222</v>
      </c>
      <c r="E8" s="3"/>
      <c r="F8" s="9">
        <v>0.73250378855668796</v>
      </c>
      <c r="H8" s="4"/>
      <c r="I8" s="10">
        <f>SQRT(SUM(L12:L21)/SUM(C12:C21))</f>
        <v>0.73503058190203485</v>
      </c>
    </row>
    <row r="9" spans="1:12" x14ac:dyDescent="0.5">
      <c r="B9" s="2"/>
      <c r="C9" s="8">
        <v>0.5</v>
      </c>
      <c r="E9" s="3"/>
      <c r="F9" s="9">
        <v>0.45822535896607991</v>
      </c>
      <c r="H9" s="4"/>
      <c r="I9" s="10">
        <f>SUM(C12:C21)/10</f>
        <v>0.4592034624652146</v>
      </c>
    </row>
    <row r="10" spans="1:12" x14ac:dyDescent="0.5">
      <c r="C10" s="1"/>
      <c r="F10" s="1"/>
    </row>
    <row r="11" spans="1:12" x14ac:dyDescent="0.5">
      <c r="A11" s="7" t="s">
        <v>0</v>
      </c>
      <c r="B11" s="7" t="s">
        <v>1</v>
      </c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 x14ac:dyDescent="0.5">
      <c r="A12" s="7">
        <v>1</v>
      </c>
      <c r="B12" s="7">
        <v>173</v>
      </c>
      <c r="C12" s="11">
        <f>$F$9*NORMDIST(B12,$F$7,SQRT($F$8),FALSE)/((1-$F$9)*NORMDIST(B12,$F$5,SQRT($F$6),FALSE)+$F$9*NORMDIST(B12,$F$7,SQRT($F$8),FALSE))</f>
        <v>9.4914559259264251E-6</v>
      </c>
      <c r="D12" s="11">
        <f>1-C12</f>
        <v>0.99999050854407412</v>
      </c>
      <c r="E12" s="11">
        <f>D12*B12</f>
        <v>172.99835797812483</v>
      </c>
      <c r="F12" s="11">
        <f>C12*B12</f>
        <v>1.6420218751852715E-3</v>
      </c>
      <c r="G12" s="11">
        <f>B12-$F$5</f>
        <v>-1.3603813297526415</v>
      </c>
      <c r="H12" s="11">
        <f>G12*G12</f>
        <v>1.8506373623395651</v>
      </c>
      <c r="I12" s="11">
        <f>D12*H12</f>
        <v>1.8506197970966056</v>
      </c>
      <c r="J12" s="11">
        <f>B12-$F$7</f>
        <v>-4.2838744189828901</v>
      </c>
      <c r="K12" s="11">
        <f>J12*J12</f>
        <v>18.351580037615996</v>
      </c>
      <c r="L12" s="11">
        <f>C12*K12</f>
        <v>1.7418321309814344E-4</v>
      </c>
    </row>
    <row r="13" spans="1:12" x14ac:dyDescent="0.5">
      <c r="A13" s="7">
        <v>2</v>
      </c>
      <c r="B13" s="7">
        <v>174</v>
      </c>
      <c r="C13" s="11">
        <f t="shared" ref="C13:C21" si="0">$F$9*NORMDIST(B13,$F$7,SQRT($F$8),FALSE)/((1-$F$9)*NORMDIST(B13,$F$5,SQRT($F$6),FALSE)+$F$9*NORMDIST(B13,$F$7,SQRT($F$8),FALSE))</f>
        <v>6.411534383668671E-4</v>
      </c>
      <c r="D13" s="11">
        <f t="shared" ref="D13:D21" si="1">1-C13</f>
        <v>0.9993588465616331</v>
      </c>
      <c r="E13" s="11">
        <f t="shared" ref="E13:E21" si="2">D13*B13</f>
        <v>173.88843930172416</v>
      </c>
      <c r="F13" s="11">
        <f t="shared" ref="F13:F21" si="3">C13*B13</f>
        <v>0.11156069827583488</v>
      </c>
      <c r="G13" s="11">
        <f t="shared" ref="G13:G21" si="4">B13-$F$5</f>
        <v>-0.36038132975264148</v>
      </c>
      <c r="H13" s="11">
        <f t="shared" ref="H13:H21" si="5">G13*G13</f>
        <v>0.12987470283428212</v>
      </c>
      <c r="I13" s="11">
        <f t="shared" ref="I13:I21" si="6">D13*H13</f>
        <v>0.12979143322200304</v>
      </c>
      <c r="J13" s="11">
        <f t="shared" ref="J13:J21" si="7">B13-$F$7</f>
        <v>-3.2838744189828901</v>
      </c>
      <c r="K13" s="11">
        <f t="shared" ref="K13:K21" si="8">J13*J13</f>
        <v>10.783831199650214</v>
      </c>
      <c r="L13" s="11">
        <f t="shared" ref="L13:L21" si="9">C13*K13</f>
        <v>6.9140904524236319E-3</v>
      </c>
    </row>
    <row r="14" spans="1:12" x14ac:dyDescent="0.5">
      <c r="A14" s="7">
        <v>3</v>
      </c>
      <c r="B14" s="7">
        <v>174</v>
      </c>
      <c r="C14" s="11">
        <f t="shared" si="0"/>
        <v>6.411534383668671E-4</v>
      </c>
      <c r="D14" s="11">
        <f t="shared" si="1"/>
        <v>0.9993588465616331</v>
      </c>
      <c r="E14" s="11">
        <f t="shared" si="2"/>
        <v>173.88843930172416</v>
      </c>
      <c r="F14" s="11">
        <f t="shared" si="3"/>
        <v>0.11156069827583488</v>
      </c>
      <c r="G14" s="11">
        <f t="shared" si="4"/>
        <v>-0.36038132975264148</v>
      </c>
      <c r="H14" s="11">
        <f t="shared" si="5"/>
        <v>0.12987470283428212</v>
      </c>
      <c r="I14" s="11">
        <f t="shared" si="6"/>
        <v>0.12979143322200304</v>
      </c>
      <c r="J14" s="11">
        <f t="shared" si="7"/>
        <v>-3.2838744189828901</v>
      </c>
      <c r="K14" s="11">
        <f t="shared" si="8"/>
        <v>10.783831199650214</v>
      </c>
      <c r="L14" s="11">
        <f t="shared" si="9"/>
        <v>6.9140904524236319E-3</v>
      </c>
    </row>
    <row r="15" spans="1:12" x14ac:dyDescent="0.5">
      <c r="A15" s="7">
        <v>4</v>
      </c>
      <c r="B15" s="7">
        <v>175</v>
      </c>
      <c r="C15" s="11">
        <f t="shared" si="0"/>
        <v>3.240200982242513E-2</v>
      </c>
      <c r="D15" s="11">
        <f t="shared" si="1"/>
        <v>0.96759799017757486</v>
      </c>
      <c r="E15" s="11">
        <f t="shared" si="2"/>
        <v>169.32964828107561</v>
      </c>
      <c r="F15" s="11">
        <f t="shared" si="3"/>
        <v>5.6703517189243975</v>
      </c>
      <c r="G15" s="11">
        <f t="shared" si="4"/>
        <v>0.63961867024735852</v>
      </c>
      <c r="H15" s="11">
        <f t="shared" si="5"/>
        <v>0.40911204332899914</v>
      </c>
      <c r="I15" s="11">
        <f t="shared" si="6"/>
        <v>0.3958559908825805</v>
      </c>
      <c r="J15" s="11">
        <f t="shared" si="7"/>
        <v>-2.2838744189828901</v>
      </c>
      <c r="K15" s="11">
        <f t="shared" si="8"/>
        <v>5.2160823616844336</v>
      </c>
      <c r="L15" s="11">
        <f t="shared" si="9"/>
        <v>0.16901155191787748</v>
      </c>
    </row>
    <row r="16" spans="1:12" x14ac:dyDescent="0.5">
      <c r="A16" s="7">
        <v>5</v>
      </c>
      <c r="B16" s="7">
        <v>175</v>
      </c>
      <c r="C16" s="11">
        <f t="shared" si="0"/>
        <v>3.240200982242513E-2</v>
      </c>
      <c r="D16" s="11">
        <f t="shared" si="1"/>
        <v>0.96759799017757486</v>
      </c>
      <c r="E16" s="11">
        <f t="shared" si="2"/>
        <v>169.32964828107561</v>
      </c>
      <c r="F16" s="11">
        <f t="shared" si="3"/>
        <v>5.6703517189243975</v>
      </c>
      <c r="G16" s="11">
        <f t="shared" si="4"/>
        <v>0.63961867024735852</v>
      </c>
      <c r="H16" s="11">
        <f t="shared" si="5"/>
        <v>0.40911204332899914</v>
      </c>
      <c r="I16" s="11">
        <f t="shared" si="6"/>
        <v>0.3958559908825805</v>
      </c>
      <c r="J16" s="11">
        <f t="shared" si="7"/>
        <v>-2.2838744189828901</v>
      </c>
      <c r="K16" s="11">
        <f t="shared" si="8"/>
        <v>5.2160823616844336</v>
      </c>
      <c r="L16" s="11">
        <f t="shared" si="9"/>
        <v>0.16901155191787748</v>
      </c>
    </row>
    <row r="17" spans="1:12" x14ac:dyDescent="0.5">
      <c r="A17" s="7">
        <v>6</v>
      </c>
      <c r="B17" s="7">
        <v>176</v>
      </c>
      <c r="C17" s="11">
        <f t="shared" si="0"/>
        <v>0.57441890081690117</v>
      </c>
      <c r="D17" s="11">
        <f t="shared" si="1"/>
        <v>0.42558109918309883</v>
      </c>
      <c r="E17" s="11">
        <f t="shared" si="2"/>
        <v>74.902273456225402</v>
      </c>
      <c r="F17" s="11">
        <f t="shared" si="3"/>
        <v>101.0977265437746</v>
      </c>
      <c r="G17" s="11">
        <f t="shared" si="4"/>
        <v>1.6396186702473585</v>
      </c>
      <c r="H17" s="11">
        <f t="shared" si="5"/>
        <v>2.688349383823716</v>
      </c>
      <c r="I17" s="11">
        <f t="shared" si="6"/>
        <v>1.1441106857559036</v>
      </c>
      <c r="J17" s="11">
        <f t="shared" si="7"/>
        <v>-1.2838744189828901</v>
      </c>
      <c r="K17" s="11">
        <f t="shared" si="8"/>
        <v>1.6483335237186536</v>
      </c>
      <c r="L17" s="11">
        <f t="shared" si="9"/>
        <v>0.94683393087411849</v>
      </c>
    </row>
    <row r="18" spans="1:12" x14ac:dyDescent="0.5">
      <c r="A18" s="7">
        <v>7</v>
      </c>
      <c r="B18" s="7">
        <v>177</v>
      </c>
      <c r="C18" s="11">
        <f t="shared" si="0"/>
        <v>0.97674938534546007</v>
      </c>
      <c r="D18" s="11">
        <f t="shared" si="1"/>
        <v>2.3250614654539925E-2</v>
      </c>
      <c r="E18" s="11">
        <f t="shared" si="2"/>
        <v>4.1153587938535665</v>
      </c>
      <c r="F18" s="11">
        <f t="shared" si="3"/>
        <v>172.88464120614643</v>
      </c>
      <c r="G18" s="11">
        <f t="shared" si="4"/>
        <v>2.6396186702473585</v>
      </c>
      <c r="H18" s="11">
        <f t="shared" si="5"/>
        <v>6.9675867243184335</v>
      </c>
      <c r="I18" s="11">
        <f t="shared" si="6"/>
        <v>0.162000673999216</v>
      </c>
      <c r="J18" s="11">
        <f t="shared" si="7"/>
        <v>-0.28387441898289012</v>
      </c>
      <c r="K18" s="11">
        <f t="shared" si="8"/>
        <v>8.0584685752873447E-2</v>
      </c>
      <c r="L18" s="11">
        <f t="shared" si="9"/>
        <v>7.8711042277376186E-2</v>
      </c>
    </row>
    <row r="19" spans="1:12" x14ac:dyDescent="0.5">
      <c r="A19" s="7">
        <v>8</v>
      </c>
      <c r="B19" s="7">
        <v>177</v>
      </c>
      <c r="C19" s="11">
        <f t="shared" si="0"/>
        <v>0.97674938534546007</v>
      </c>
      <c r="D19" s="11">
        <f t="shared" si="1"/>
        <v>2.3250614654539925E-2</v>
      </c>
      <c r="E19" s="11">
        <f t="shared" si="2"/>
        <v>4.1153587938535665</v>
      </c>
      <c r="F19" s="11">
        <f t="shared" si="3"/>
        <v>172.88464120614643</v>
      </c>
      <c r="G19" s="11">
        <f t="shared" si="4"/>
        <v>2.6396186702473585</v>
      </c>
      <c r="H19" s="11">
        <f t="shared" si="5"/>
        <v>6.9675867243184335</v>
      </c>
      <c r="I19" s="11">
        <f t="shared" si="6"/>
        <v>0.162000673999216</v>
      </c>
      <c r="J19" s="11">
        <f t="shared" si="7"/>
        <v>-0.28387441898289012</v>
      </c>
      <c r="K19" s="11">
        <f t="shared" si="8"/>
        <v>8.0584685752873447E-2</v>
      </c>
      <c r="L19" s="11">
        <f t="shared" si="9"/>
        <v>7.8711042277376186E-2</v>
      </c>
    </row>
    <row r="20" spans="1:12" x14ac:dyDescent="0.5">
      <c r="A20" s="7">
        <v>9</v>
      </c>
      <c r="B20" s="7">
        <v>178</v>
      </c>
      <c r="C20" s="11">
        <f t="shared" si="0"/>
        <v>0.99901056758340745</v>
      </c>
      <c r="D20" s="11">
        <f t="shared" si="1"/>
        <v>9.8943241659255055E-4</v>
      </c>
      <c r="E20" s="11">
        <f t="shared" si="2"/>
        <v>0.176118970153474</v>
      </c>
      <c r="F20" s="11">
        <f t="shared" si="3"/>
        <v>177.82388102984652</v>
      </c>
      <c r="G20" s="11">
        <f t="shared" si="4"/>
        <v>3.6396186702473585</v>
      </c>
      <c r="H20" s="11">
        <f t="shared" si="5"/>
        <v>13.246824064813151</v>
      </c>
      <c r="I20" s="11">
        <f t="shared" si="6"/>
        <v>1.3106837146624429E-2</v>
      </c>
      <c r="J20" s="11">
        <f t="shared" si="7"/>
        <v>0.71612558101710988</v>
      </c>
      <c r="K20" s="11">
        <f t="shared" si="8"/>
        <v>0.51283584778709324</v>
      </c>
      <c r="L20" s="11">
        <f t="shared" si="9"/>
        <v>0.51232843137490192</v>
      </c>
    </row>
    <row r="21" spans="1:12" x14ac:dyDescent="0.5">
      <c r="A21" s="7">
        <v>10</v>
      </c>
      <c r="B21" s="7">
        <v>178</v>
      </c>
      <c r="C21" s="11">
        <f t="shared" si="0"/>
        <v>0.99901056758340745</v>
      </c>
      <c r="D21" s="11">
        <f t="shared" si="1"/>
        <v>9.8943241659255055E-4</v>
      </c>
      <c r="E21" s="11">
        <f t="shared" si="2"/>
        <v>0.176118970153474</v>
      </c>
      <c r="F21" s="11">
        <f t="shared" si="3"/>
        <v>177.82388102984652</v>
      </c>
      <c r="G21" s="11">
        <f t="shared" si="4"/>
        <v>3.6396186702473585</v>
      </c>
      <c r="H21" s="11">
        <f t="shared" si="5"/>
        <v>13.246824064813151</v>
      </c>
      <c r="I21" s="11">
        <f t="shared" si="6"/>
        <v>1.3106837146624429E-2</v>
      </c>
      <c r="J21" s="11">
        <f t="shared" si="7"/>
        <v>0.71612558101710988</v>
      </c>
      <c r="K21" s="11">
        <f t="shared" si="8"/>
        <v>0.51283584778709324</v>
      </c>
      <c r="L21" s="11">
        <f t="shared" si="9"/>
        <v>0.51232843137490192</v>
      </c>
    </row>
    <row r="22" spans="1:12" x14ac:dyDescent="0.5">
      <c r="C22" t="s">
        <v>13</v>
      </c>
      <c r="D22" t="s">
        <v>14</v>
      </c>
    </row>
    <row r="24" spans="1:12" x14ac:dyDescent="0.5">
      <c r="A24" s="4" t="s">
        <v>9</v>
      </c>
      <c r="B24" s="10">
        <f>STDEV(B12:B21)</f>
        <v>1.7669811040931429</v>
      </c>
      <c r="D24" t="s">
        <v>15</v>
      </c>
    </row>
    <row r="25" spans="1:12" x14ac:dyDescent="0.5">
      <c r="A25" s="4" t="s">
        <v>10</v>
      </c>
      <c r="B25" s="10">
        <v>176</v>
      </c>
    </row>
    <row r="26" spans="1:12" x14ac:dyDescent="0.5">
      <c r="A26" s="4" t="s">
        <v>11</v>
      </c>
      <c r="B26" s="10">
        <v>178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按钮5_Click">
                <anchor moveWithCells="1" sizeWithCells="1">
                  <from>
                    <xdr:col>9</xdr:col>
                    <xdr:colOff>79829</xdr:colOff>
                    <xdr:row>4</xdr:row>
                    <xdr:rowOff>116114</xdr:rowOff>
                  </from>
                  <to>
                    <xdr:col>9</xdr:col>
                    <xdr:colOff>1284514</xdr:colOff>
                    <xdr:row>7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按钮6_Click">
                <anchor moveWithCells="1" sizeWithCells="1">
                  <from>
                    <xdr:col>10</xdr:col>
                    <xdr:colOff>54429</xdr:colOff>
                    <xdr:row>4</xdr:row>
                    <xdr:rowOff>61686</xdr:rowOff>
                  </from>
                  <to>
                    <xdr:col>11</xdr:col>
                    <xdr:colOff>475343</xdr:colOff>
                    <xdr:row>7</xdr:row>
                    <xdr:rowOff>83457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2020混合高斯分布之EM算法(run)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2023-03-14T04:15:48Z</dcterms:modified>
</cp:coreProperties>
</file>