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2021-07-18《数据科学概论》new plan\2022newPPT\0302-分类：Pre+梯度下降算法入门\"/>
    </mc:Choice>
  </mc:AlternateContent>
  <xr:revisionPtr revIDLastSave="0" documentId="13_ncr:1_{9BAC9045-C130-4C9D-A7CA-2F72DBF42D96}" xr6:coauthVersionLast="36" xr6:coauthVersionMax="36" xr10:uidLastSave="{00000000-0000-0000-0000-000000000000}"/>
  <bookViews>
    <workbookView xWindow="0" yWindow="0" windowWidth="22880" windowHeight="8657" xr2:uid="{00000000-000D-0000-FFFF-FFFF00000000}"/>
  </bookViews>
  <sheets>
    <sheet name="梯度下降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" l="1"/>
  <c r="AI5" i="1" s="1"/>
  <c r="AH5" i="1"/>
  <c r="S11" i="1"/>
  <c r="S12" i="1" s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S1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 l="1"/>
  <c r="B8" i="1" l="1"/>
  <c r="B9" i="1" l="1"/>
</calcChain>
</file>

<file path=xl/sharedStrings.xml><?xml version="1.0" encoding="utf-8"?>
<sst xmlns="http://schemas.openxmlformats.org/spreadsheetml/2006/main" count="14" uniqueCount="14">
  <si>
    <t xml:space="preserve">𝑓(𝑥)=(𝑥^4−15𝑥^3+80𝑥^2−180𝑥+144)/10
</t>
    <phoneticPr fontId="1" type="noConversion"/>
  </si>
  <si>
    <t>f'(x) = (4𝑥^3−45𝑥^2+160𝑥^1−180)/10</t>
    <phoneticPr fontId="1" type="noConversion"/>
  </si>
  <si>
    <t>x</t>
    <phoneticPr fontId="1" type="noConversion"/>
  </si>
  <si>
    <t>y</t>
    <phoneticPr fontId="1" type="noConversion"/>
  </si>
  <si>
    <t>学习率0.03</t>
    <phoneticPr fontId="1" type="noConversion"/>
  </si>
  <si>
    <t>x</t>
    <phoneticPr fontId="1" type="noConversion"/>
  </si>
  <si>
    <t xml:space="preserve">x的初值 </t>
    <phoneticPr fontId="1" type="noConversion"/>
  </si>
  <si>
    <t>f'(x)</t>
    <phoneticPr fontId="1" type="noConversion"/>
  </si>
  <si>
    <t>x = x-ita * f'(x)</t>
    <phoneticPr fontId="1" type="noConversion"/>
  </si>
  <si>
    <t>x</t>
    <phoneticPr fontId="1" type="noConversion"/>
  </si>
  <si>
    <t>y</t>
    <phoneticPr fontId="1" type="noConversion"/>
  </si>
  <si>
    <t>1，在b7单元设置x初值</t>
    <phoneticPr fontId="1" type="noConversion"/>
  </si>
  <si>
    <t>2，连续点击梯度下降按钮，看梯度下降过程</t>
    <phoneticPr fontId="1" type="noConversion"/>
  </si>
  <si>
    <t>操作提示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</si>
</sst>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0.00_ 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梯度下降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梯度下降!$D$4:$AG$4</c:f>
              <c:numCache>
                <c:formatCode>General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</c:v>
                </c:pt>
                <c:pt idx="24">
                  <c:v>5.8</c:v>
                </c:pt>
                <c:pt idx="25">
                  <c:v>6</c:v>
                </c:pt>
                <c:pt idx="26">
                  <c:v>6.2</c:v>
                </c:pt>
                <c:pt idx="27">
                  <c:v>6.4</c:v>
                </c:pt>
                <c:pt idx="28">
                  <c:v>6.6</c:v>
                </c:pt>
                <c:pt idx="29">
                  <c:v>6.8</c:v>
                </c:pt>
              </c:numCache>
            </c:numRef>
          </c:cat>
          <c:val>
            <c:numRef>
              <c:f>梯度下降!$D$5:$AG$5</c:f>
              <c:numCache>
                <c:formatCode>General</c:formatCode>
                <c:ptCount val="30"/>
                <c:pt idx="0">
                  <c:v>3</c:v>
                </c:pt>
                <c:pt idx="1">
                  <c:v>1.9353599999999986</c:v>
                </c:pt>
                <c:pt idx="2">
                  <c:v>1.1481600000000014</c:v>
                </c:pt>
                <c:pt idx="3">
                  <c:v>0.59136000000000022</c:v>
                </c:pt>
                <c:pt idx="4">
                  <c:v>0.22176000000000046</c:v>
                </c:pt>
                <c:pt idx="5">
                  <c:v>0</c:v>
                </c:pt>
                <c:pt idx="6">
                  <c:v>-0.10944000000000358</c:v>
                </c:pt>
                <c:pt idx="7">
                  <c:v>-0.13824000000000183</c:v>
                </c:pt>
                <c:pt idx="8">
                  <c:v>-0.11423999999999523</c:v>
                </c:pt>
                <c:pt idx="9">
                  <c:v>-6.1439999999998919E-2</c:v>
                </c:pt>
                <c:pt idx="10">
                  <c:v>0</c:v>
                </c:pt>
                <c:pt idx="11">
                  <c:v>5.3759999999999766E-2</c:v>
                </c:pt>
                <c:pt idx="12">
                  <c:v>8.7359999999989668E-2</c:v>
                </c:pt>
                <c:pt idx="13">
                  <c:v>9.2159999999989847E-2</c:v>
                </c:pt>
                <c:pt idx="14">
                  <c:v>6.336000000001149E-2</c:v>
                </c:pt>
                <c:pt idx="15">
                  <c:v>0</c:v>
                </c:pt>
                <c:pt idx="16">
                  <c:v>-9.504000000000587E-2</c:v>
                </c:pt>
                <c:pt idx="17">
                  <c:v>-0.21503999999999907</c:v>
                </c:pt>
                <c:pt idx="18">
                  <c:v>-0.34943999999998143</c:v>
                </c:pt>
                <c:pt idx="19">
                  <c:v>-0.48384000000000926</c:v>
                </c:pt>
                <c:pt idx="20">
                  <c:v>-0.6</c:v>
                </c:pt>
                <c:pt idx="21">
                  <c:v>-0.67583999999997102</c:v>
                </c:pt>
                <c:pt idx="22">
                  <c:v>-0.68544000000002825</c:v>
                </c:pt>
                <c:pt idx="23">
                  <c:v>-0.599040000000025</c:v>
                </c:pt>
                <c:pt idx="24">
                  <c:v>-0.38304000000000543</c:v>
                </c:pt>
                <c:pt idx="25">
                  <c:v>0</c:v>
                </c:pt>
                <c:pt idx="26">
                  <c:v>0.59136000000003153</c:v>
                </c:pt>
                <c:pt idx="27">
                  <c:v>1.4361600000000181</c:v>
                </c:pt>
                <c:pt idx="28">
                  <c:v>2.5833599999999932</c:v>
                </c:pt>
                <c:pt idx="29">
                  <c:v>4.0857599999998913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0-4FAE-A985-173761947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15808"/>
        <c:axId val="1509093760"/>
      </c:lineChart>
      <c:catAx>
        <c:axId val="15091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9093760"/>
        <c:crosses val="autoZero"/>
        <c:auto val="1"/>
        <c:lblAlgn val="ctr"/>
        <c:lblOffset val="100"/>
        <c:noMultiLvlLbl val="0"/>
      </c:catAx>
      <c:valAx>
        <c:axId val="150909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911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770434809185967E-2"/>
          <c:y val="3.6666666666666667E-2"/>
          <c:w val="0.90572747729677894"/>
          <c:h val="0.94502493438320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梯度下降!$AH$4:$AI$4</c:f>
              <c:numCache>
                <c:formatCode>General</c:formatCode>
                <c:ptCount val="2"/>
                <c:pt idx="0">
                  <c:v>0</c:v>
                </c:pt>
                <c:pt idx="1">
                  <c:v>6.6</c:v>
                </c:pt>
              </c:numCache>
            </c:numRef>
          </c:xVal>
          <c:yVal>
            <c:numRef>
              <c:f>梯度下降!$AH$5:$AI$5</c:f>
              <c:numCache>
                <c:formatCode>General</c:formatCode>
                <c:ptCount val="2"/>
                <c:pt idx="0">
                  <c:v>14.4</c:v>
                </c:pt>
                <c:pt idx="1">
                  <c:v>2.5833599999999932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8-4A5E-89BC-811923BBE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092928"/>
        <c:axId val="1509099168"/>
      </c:scatterChart>
      <c:valAx>
        <c:axId val="1509092928"/>
        <c:scaling>
          <c:orientation val="minMax"/>
          <c:max val="6.8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9099168"/>
        <c:crosses val="autoZero"/>
        <c:crossBetween val="midCat"/>
      </c:valAx>
      <c:valAx>
        <c:axId val="1509099168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909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302895</xdr:colOff>
      <xdr:row>5</xdr:row>
      <xdr:rowOff>26670</xdr:rowOff>
    </xdr:from>
    <xdr:to>
      <xdr:col>16</xdr:col>
      <xdr:colOff>41910</xdr:colOff>
      <xdr:row>26</xdr:row>
      <xdr:rowOff>60960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19050</xdr:rowOff>
    </xdr:from>
    <xdr:to>
      <xdr:col>16</xdr:col>
      <xdr:colOff>41910</xdr:colOff>
      <xdr:row>26</xdr:row>
      <xdr:rowOff>68580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1389743</xdr:colOff>
          <xdr:row>10</xdr:row>
          <xdr:rowOff>58057</xdr:rowOff>
        </xdr:from>
        <xdr:to>
          <xdr:col>1</xdr:col>
          <xdr:colOff>7257</xdr:colOff>
          <xdr:row>13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梯度下降迭代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7"/>
  <sheetViews>
    <sheetView tabSelected="1" topLeftCell="A4" workbookViewId="0">
      <selection activeCell="B22" sqref="B22"/>
    </sheetView>
  </sheetViews>
  <sheetFormatPr defaultRowHeight="14" x14ac:dyDescent="0.5"/>
  <cols>
    <col min="1" max="1" width="24.1875" customWidth="1"/>
    <col min="2" max="2" width="12" bestFit="1" customWidth="1"/>
    <col min="3" max="3" width="4.6640625" customWidth="1"/>
    <col min="4" max="30" width="5.5234375" customWidth="1"/>
    <col min="31" max="34" width="5.234375" customWidth="1"/>
  </cols>
  <sheetData>
    <row r="1" spans="1:35" ht="42" x14ac:dyDescent="0.5">
      <c r="A1" s="3" t="s">
        <v>0</v>
      </c>
      <c r="B1" s="4"/>
      <c r="C1" t="s">
        <v>2</v>
      </c>
      <c r="D1" s="1">
        <v>1</v>
      </c>
      <c r="E1" s="1">
        <v>1.002</v>
      </c>
      <c r="F1" s="1">
        <v>1.004</v>
      </c>
      <c r="G1" s="1">
        <v>1.006</v>
      </c>
      <c r="H1" s="1">
        <v>1.008</v>
      </c>
      <c r="I1" s="1">
        <v>1.01</v>
      </c>
      <c r="J1" s="1">
        <v>1.012</v>
      </c>
      <c r="K1" s="1">
        <v>1.014</v>
      </c>
      <c r="L1" s="1">
        <v>1.016</v>
      </c>
      <c r="M1" s="1">
        <v>1.018</v>
      </c>
      <c r="N1" s="1">
        <v>1.02</v>
      </c>
      <c r="O1" s="1">
        <v>1.022</v>
      </c>
      <c r="P1" s="1">
        <v>1.024</v>
      </c>
      <c r="Q1" s="1">
        <v>1.026</v>
      </c>
      <c r="R1" s="1">
        <v>1.028</v>
      </c>
      <c r="S1">
        <f>B7</f>
        <v>6.6</v>
      </c>
      <c r="T1" s="2">
        <v>6.5399999999999903</v>
      </c>
      <c r="U1" s="2">
        <v>6.56</v>
      </c>
      <c r="V1" s="2">
        <v>6.58</v>
      </c>
      <c r="W1" s="2">
        <v>6.6</v>
      </c>
      <c r="X1" s="2">
        <v>6.62</v>
      </c>
      <c r="Y1" s="2">
        <v>6.64</v>
      </c>
      <c r="Z1" s="2">
        <v>6.66</v>
      </c>
      <c r="AA1" s="2">
        <v>6.68</v>
      </c>
      <c r="AB1" s="2">
        <v>6.7</v>
      </c>
      <c r="AC1" s="2">
        <v>6.72</v>
      </c>
      <c r="AD1" s="2">
        <v>6.74</v>
      </c>
      <c r="AE1" s="2">
        <v>6.76</v>
      </c>
      <c r="AF1" s="2">
        <v>6.78</v>
      </c>
      <c r="AG1" s="2">
        <v>6.8</v>
      </c>
    </row>
    <row r="2" spans="1:35" x14ac:dyDescent="0.5">
      <c r="A2" s="4" t="s">
        <v>1</v>
      </c>
      <c r="B2" s="4"/>
      <c r="C2" t="s">
        <v>3</v>
      </c>
      <c r="D2">
        <f t="shared" ref="D2:R2" si="0">(D1*D1*D1*D1-15*D1*D1*D1+80*D1*D1-180*D1+144)/10</f>
        <v>3</v>
      </c>
      <c r="E2">
        <f t="shared" si="0"/>
        <v>2.9878163912015978</v>
      </c>
      <c r="F2">
        <f t="shared" si="0"/>
        <v>2.9756655296256</v>
      </c>
      <c r="G2">
        <f t="shared" si="0"/>
        <v>2.9635473625295985</v>
      </c>
      <c r="H2">
        <f t="shared" si="0"/>
        <v>2.9514618372096009</v>
      </c>
      <c r="I2">
        <f t="shared" si="0"/>
        <v>2.9394089009999989</v>
      </c>
      <c r="J2">
        <f t="shared" si="0"/>
        <v>2.9273885012736001</v>
      </c>
      <c r="K2">
        <f t="shared" si="0"/>
        <v>2.9154005854416001</v>
      </c>
      <c r="L2">
        <f t="shared" si="0"/>
        <v>2.9034451009536015</v>
      </c>
      <c r="M2">
        <f t="shared" si="0"/>
        <v>2.891521995297599</v>
      </c>
      <c r="N2">
        <f t="shared" si="0"/>
        <v>2.8796312159999999</v>
      </c>
      <c r="O2">
        <f t="shared" si="0"/>
        <v>2.8677727106256001</v>
      </c>
      <c r="P2">
        <f t="shared" si="0"/>
        <v>2.8559464267776007</v>
      </c>
      <c r="Q2">
        <f t="shared" si="0"/>
        <v>2.8441523120975987</v>
      </c>
      <c r="R2">
        <f t="shared" si="0"/>
        <v>2.8323903142656022</v>
      </c>
      <c r="S2">
        <f>(S1*S1*S1*S1-15*S1*S1*S1+80*S1*S1-180*S1+144)/10</f>
        <v>2.5833599999999932</v>
      </c>
      <c r="T2">
        <f t="shared" ref="T2:AG2" si="1">(T1*T1*T1*T1-15*T1*T1*T1+80*T1*T1-180*T1+144)/10</f>
        <v>2.2043806559999894</v>
      </c>
      <c r="U2">
        <f t="shared" si="1"/>
        <v>2.3272488960000146</v>
      </c>
      <c r="V2">
        <f t="shared" si="1"/>
        <v>2.4535572959999628</v>
      </c>
      <c r="W2">
        <f t="shared" si="1"/>
        <v>2.5833599999999932</v>
      </c>
      <c r="X2">
        <f t="shared" si="1"/>
        <v>2.716711536000048</v>
      </c>
      <c r="Y2">
        <f t="shared" si="1"/>
        <v>2.8536668159999636</v>
      </c>
      <c r="Z2">
        <f t="shared" si="1"/>
        <v>2.9942811359999495</v>
      </c>
      <c r="AA2">
        <f t="shared" si="1"/>
        <v>3.1386101760000429</v>
      </c>
      <c r="AB2">
        <f t="shared" si="1"/>
        <v>3.2867099999999936</v>
      </c>
      <c r="AC2">
        <f t="shared" si="1"/>
        <v>3.4386370560000161</v>
      </c>
      <c r="AD2">
        <f t="shared" si="1"/>
        <v>3.5944481760000371</v>
      </c>
      <c r="AE2">
        <f t="shared" si="1"/>
        <v>3.7542005759999713</v>
      </c>
      <c r="AF2">
        <f t="shared" si="1"/>
        <v>3.9179518559999451</v>
      </c>
      <c r="AG2">
        <f t="shared" si="1"/>
        <v>4.0857599999998913</v>
      </c>
    </row>
    <row r="3" spans="1:35" ht="14.1" x14ac:dyDescent="0.5">
      <c r="A3" s="4"/>
      <c r="B3" s="4"/>
      <c r="C3" t="s">
        <v>9</v>
      </c>
    </row>
    <row r="4" spans="1:35" x14ac:dyDescent="0.5">
      <c r="A4" s="4" t="s">
        <v>6</v>
      </c>
      <c r="B4" s="4">
        <v>1</v>
      </c>
      <c r="C4" t="s">
        <v>10</v>
      </c>
      <c r="D4">
        <v>1</v>
      </c>
      <c r="E4">
        <v>1.2</v>
      </c>
      <c r="F4">
        <v>1.4</v>
      </c>
      <c r="G4">
        <v>1.6</v>
      </c>
      <c r="H4">
        <v>1.8</v>
      </c>
      <c r="I4">
        <v>2</v>
      </c>
      <c r="J4">
        <v>2.2000000000000002</v>
      </c>
      <c r="K4">
        <v>2.4</v>
      </c>
      <c r="L4">
        <v>2.6</v>
      </c>
      <c r="M4">
        <v>2.8</v>
      </c>
      <c r="N4">
        <v>3</v>
      </c>
      <c r="O4">
        <v>3.2</v>
      </c>
      <c r="P4">
        <v>3.4</v>
      </c>
      <c r="Q4">
        <v>3.6</v>
      </c>
      <c r="R4">
        <v>3.8</v>
      </c>
      <c r="S4">
        <v>4</v>
      </c>
      <c r="T4">
        <v>4.2</v>
      </c>
      <c r="U4">
        <v>4.4000000000000004</v>
      </c>
      <c r="V4">
        <v>4.5999999999999996</v>
      </c>
      <c r="W4">
        <v>4.8</v>
      </c>
      <c r="X4">
        <v>5</v>
      </c>
      <c r="Y4">
        <v>5.2</v>
      </c>
      <c r="Z4">
        <v>5.4</v>
      </c>
      <c r="AA4">
        <v>5.6</v>
      </c>
      <c r="AB4">
        <v>5.8</v>
      </c>
      <c r="AC4">
        <v>6</v>
      </c>
      <c r="AD4">
        <v>6.2</v>
      </c>
      <c r="AE4">
        <v>6.4</v>
      </c>
      <c r="AF4">
        <v>6.6</v>
      </c>
      <c r="AG4">
        <v>6.8</v>
      </c>
      <c r="AH4">
        <v>0</v>
      </c>
      <c r="AI4">
        <f>B7</f>
        <v>6.6</v>
      </c>
    </row>
    <row r="5" spans="1:35" x14ac:dyDescent="0.5">
      <c r="A5" s="4" t="s">
        <v>4</v>
      </c>
      <c r="B5" s="4">
        <v>0.01</v>
      </c>
      <c r="D5">
        <f>(D4*D4*D4*D4-15*D4*D4*D4+80*D4*D4-180*D4+144)/10</f>
        <v>3</v>
      </c>
      <c r="E5">
        <f t="shared" ref="E5:AI5" si="2">(E4*E4*E4*E4-15*E4*E4*E4+80*E4*E4-180*E4+144)/10</f>
        <v>1.9353599999999986</v>
      </c>
      <c r="F5">
        <f t="shared" si="2"/>
        <v>1.1481600000000014</v>
      </c>
      <c r="G5">
        <f t="shared" si="2"/>
        <v>0.59136000000000022</v>
      </c>
      <c r="H5">
        <f t="shared" si="2"/>
        <v>0.22176000000000046</v>
      </c>
      <c r="I5">
        <f t="shared" si="2"/>
        <v>0</v>
      </c>
      <c r="J5">
        <f t="shared" si="2"/>
        <v>-0.10944000000000358</v>
      </c>
      <c r="K5">
        <f t="shared" si="2"/>
        <v>-0.13824000000000183</v>
      </c>
      <c r="L5">
        <f t="shared" si="2"/>
        <v>-0.11423999999999523</v>
      </c>
      <c r="M5">
        <f t="shared" si="2"/>
        <v>-6.1439999999998919E-2</v>
      </c>
      <c r="N5">
        <f t="shared" si="2"/>
        <v>0</v>
      </c>
      <c r="O5">
        <f t="shared" si="2"/>
        <v>5.3759999999999766E-2</v>
      </c>
      <c r="P5">
        <f t="shared" si="2"/>
        <v>8.7359999999989668E-2</v>
      </c>
      <c r="Q5">
        <f t="shared" si="2"/>
        <v>9.2159999999989847E-2</v>
      </c>
      <c r="R5">
        <f t="shared" si="2"/>
        <v>6.336000000001149E-2</v>
      </c>
      <c r="S5">
        <f t="shared" si="2"/>
        <v>0</v>
      </c>
      <c r="T5">
        <f t="shared" si="2"/>
        <v>-9.504000000000587E-2</v>
      </c>
      <c r="U5">
        <f t="shared" si="2"/>
        <v>-0.21503999999999907</v>
      </c>
      <c r="V5">
        <f t="shared" si="2"/>
        <v>-0.34943999999998143</v>
      </c>
      <c r="W5">
        <f t="shared" si="2"/>
        <v>-0.48384000000000926</v>
      </c>
      <c r="X5">
        <f t="shared" si="2"/>
        <v>-0.6</v>
      </c>
      <c r="Y5">
        <f t="shared" si="2"/>
        <v>-0.67583999999997102</v>
      </c>
      <c r="Z5">
        <f t="shared" si="2"/>
        <v>-0.68544000000002825</v>
      </c>
      <c r="AA5">
        <f t="shared" si="2"/>
        <v>-0.599040000000025</v>
      </c>
      <c r="AB5">
        <f t="shared" si="2"/>
        <v>-0.38304000000000543</v>
      </c>
      <c r="AC5">
        <f t="shared" si="2"/>
        <v>0</v>
      </c>
      <c r="AD5">
        <f t="shared" si="2"/>
        <v>0.59136000000003153</v>
      </c>
      <c r="AE5">
        <f t="shared" si="2"/>
        <v>1.4361600000000181</v>
      </c>
      <c r="AF5">
        <f t="shared" si="2"/>
        <v>2.5833599999999932</v>
      </c>
      <c r="AG5">
        <f t="shared" si="2"/>
        <v>4.0857599999998913</v>
      </c>
      <c r="AH5">
        <f t="shared" si="2"/>
        <v>14.4</v>
      </c>
      <c r="AI5">
        <f t="shared" si="2"/>
        <v>2.5833599999999932</v>
      </c>
    </row>
    <row r="6" spans="1:35" ht="14.1" x14ac:dyDescent="0.5">
      <c r="A6" s="4"/>
      <c r="B6" s="4"/>
    </row>
    <row r="7" spans="1:35" ht="14.1" x14ac:dyDescent="0.5">
      <c r="A7" s="4" t="s">
        <v>5</v>
      </c>
      <c r="B7" s="5">
        <v>6.6</v>
      </c>
    </row>
    <row r="8" spans="1:35" ht="14.1" x14ac:dyDescent="0.5">
      <c r="A8" s="4" t="s">
        <v>7</v>
      </c>
      <c r="B8" s="4">
        <f>(4*B7*B7*B7-45*B7*B7+160*B7-180)/10</f>
        <v>6.5784000000000109</v>
      </c>
    </row>
    <row r="9" spans="1:35" ht="14.1" x14ac:dyDescent="0.5">
      <c r="A9" s="4" t="s">
        <v>8</v>
      </c>
      <c r="B9" s="4">
        <f>B7-B5*B8</f>
        <v>6.5342159999999998</v>
      </c>
    </row>
    <row r="11" spans="1:35" ht="14.1" x14ac:dyDescent="0.5">
      <c r="D11" s="1">
        <v>1</v>
      </c>
      <c r="E11" s="1">
        <v>1.002</v>
      </c>
      <c r="F11" s="1">
        <v>1.004</v>
      </c>
      <c r="G11" s="1">
        <v>1.006</v>
      </c>
      <c r="H11" s="1">
        <v>1.008</v>
      </c>
      <c r="I11" s="1">
        <v>1.01</v>
      </c>
      <c r="J11" s="1">
        <v>1.012</v>
      </c>
      <c r="K11" s="1">
        <v>1.014</v>
      </c>
      <c r="L11" s="1">
        <v>1.016</v>
      </c>
      <c r="M11" s="1">
        <v>1.018</v>
      </c>
      <c r="N11" s="1">
        <v>1.02</v>
      </c>
      <c r="O11" s="1">
        <v>1.022</v>
      </c>
      <c r="P11" s="1">
        <v>1.024</v>
      </c>
      <c r="Q11" s="1">
        <v>1.026</v>
      </c>
      <c r="R11" s="1">
        <v>1.028</v>
      </c>
      <c r="S11">
        <f>B7</f>
        <v>6.6</v>
      </c>
      <c r="T11" s="2">
        <v>6.5399999999999903</v>
      </c>
      <c r="U11" s="2">
        <v>6.56</v>
      </c>
      <c r="V11" s="2">
        <v>6.58</v>
      </c>
      <c r="W11" s="2">
        <v>6.6</v>
      </c>
      <c r="X11" s="2">
        <v>6.62</v>
      </c>
      <c r="Y11" s="2">
        <v>6.64</v>
      </c>
      <c r="Z11" s="2">
        <v>6.66</v>
      </c>
      <c r="AA11" s="2">
        <v>6.68</v>
      </c>
      <c r="AB11" s="2">
        <v>6.7</v>
      </c>
      <c r="AC11" s="2">
        <v>6.72</v>
      </c>
      <c r="AD11" s="2">
        <v>6.74</v>
      </c>
      <c r="AE11" s="2">
        <v>6.76</v>
      </c>
      <c r="AF11" s="2">
        <v>6.78</v>
      </c>
      <c r="AG11" s="2">
        <v>6.8</v>
      </c>
    </row>
    <row r="12" spans="1:35" ht="14.1" x14ac:dyDescent="0.5">
      <c r="D12">
        <f t="shared" ref="D12" si="3">(D11*D11*D11*D11-15*D11*D11*D11+80*D11*D11-180*D11+144)/10</f>
        <v>3</v>
      </c>
      <c r="E12">
        <f t="shared" ref="E12" si="4">(E11*E11*E11*E11-15*E11*E11*E11+80*E11*E11-180*E11+144)/10</f>
        <v>2.9878163912015978</v>
      </c>
      <c r="F12">
        <f t="shared" ref="F12" si="5">(F11*F11*F11*F11-15*F11*F11*F11+80*F11*F11-180*F11+144)/10</f>
        <v>2.9756655296256</v>
      </c>
      <c r="G12">
        <f t="shared" ref="G12" si="6">(G11*G11*G11*G11-15*G11*G11*G11+80*G11*G11-180*G11+144)/10</f>
        <v>2.9635473625295985</v>
      </c>
      <c r="H12">
        <f t="shared" ref="H12" si="7">(H11*H11*H11*H11-15*H11*H11*H11+80*H11*H11-180*H11+144)/10</f>
        <v>2.9514618372096009</v>
      </c>
      <c r="I12">
        <f t="shared" ref="I12" si="8">(I11*I11*I11*I11-15*I11*I11*I11+80*I11*I11-180*I11+144)/10</f>
        <v>2.9394089009999989</v>
      </c>
      <c r="J12">
        <f t="shared" ref="J12" si="9">(J11*J11*J11*J11-15*J11*J11*J11+80*J11*J11-180*J11+144)/10</f>
        <v>2.9273885012736001</v>
      </c>
      <c r="K12">
        <f t="shared" ref="K12" si="10">(K11*K11*K11*K11-15*K11*K11*K11+80*K11*K11-180*K11+144)/10</f>
        <v>2.9154005854416001</v>
      </c>
      <c r="L12">
        <f t="shared" ref="L12" si="11">(L11*L11*L11*L11-15*L11*L11*L11+80*L11*L11-180*L11+144)/10</f>
        <v>2.9034451009536015</v>
      </c>
      <c r="M12">
        <f t="shared" ref="M12" si="12">(M11*M11*M11*M11-15*M11*M11*M11+80*M11*M11-180*M11+144)/10</f>
        <v>2.891521995297599</v>
      </c>
      <c r="N12">
        <f t="shared" ref="N12" si="13">(N11*N11*N11*N11-15*N11*N11*N11+80*N11*N11-180*N11+144)/10</f>
        <v>2.8796312159999999</v>
      </c>
      <c r="O12">
        <f t="shared" ref="O12" si="14">(O11*O11*O11*O11-15*O11*O11*O11+80*O11*O11-180*O11+144)/10</f>
        <v>2.8677727106256001</v>
      </c>
      <c r="P12">
        <f t="shared" ref="P12" si="15">(P11*P11*P11*P11-15*P11*P11*P11+80*P11*P11-180*P11+144)/10</f>
        <v>2.8559464267776007</v>
      </c>
      <c r="Q12">
        <f t="shared" ref="Q12" si="16">(Q11*Q11*Q11*Q11-15*Q11*Q11*Q11+80*Q11*Q11-180*Q11+144)/10</f>
        <v>2.8441523120975987</v>
      </c>
      <c r="R12">
        <f t="shared" ref="R12" si="17">(R11*R11*R11*R11-15*R11*R11*R11+80*R11*R11-180*R11+144)/10</f>
        <v>2.8323903142656022</v>
      </c>
      <c r="S12">
        <f>(S11*S11*S11*S11-15*S11*S11*S11+80*S11*S11-180*S11+144)/10</f>
        <v>2.5833599999999932</v>
      </c>
      <c r="T12">
        <f t="shared" ref="T12" si="18">(T11*T11*T11*T11-15*T11*T11*T11+80*T11*T11-180*T11+144)/10</f>
        <v>2.2043806559999894</v>
      </c>
      <c r="U12">
        <f t="shared" ref="U12" si="19">(U11*U11*U11*U11-15*U11*U11*U11+80*U11*U11-180*U11+144)/10</f>
        <v>2.3272488960000146</v>
      </c>
      <c r="V12">
        <f t="shared" ref="V12" si="20">(V11*V11*V11*V11-15*V11*V11*V11+80*V11*V11-180*V11+144)/10</f>
        <v>2.4535572959999628</v>
      </c>
      <c r="W12">
        <f t="shared" ref="W12" si="21">(W11*W11*W11*W11-15*W11*W11*W11+80*W11*W11-180*W11+144)/10</f>
        <v>2.5833599999999932</v>
      </c>
      <c r="X12">
        <f t="shared" ref="X12" si="22">(X11*X11*X11*X11-15*X11*X11*X11+80*X11*X11-180*X11+144)/10</f>
        <v>2.716711536000048</v>
      </c>
      <c r="Y12">
        <f t="shared" ref="Y12" si="23">(Y11*Y11*Y11*Y11-15*Y11*Y11*Y11+80*Y11*Y11-180*Y11+144)/10</f>
        <v>2.8536668159999636</v>
      </c>
      <c r="Z12">
        <f t="shared" ref="Z12" si="24">(Z11*Z11*Z11*Z11-15*Z11*Z11*Z11+80*Z11*Z11-180*Z11+144)/10</f>
        <v>2.9942811359999495</v>
      </c>
      <c r="AA12">
        <f t="shared" ref="AA12" si="25">(AA11*AA11*AA11*AA11-15*AA11*AA11*AA11+80*AA11*AA11-180*AA11+144)/10</f>
        <v>3.1386101760000429</v>
      </c>
      <c r="AB12">
        <f t="shared" ref="AB12" si="26">(AB11*AB11*AB11*AB11-15*AB11*AB11*AB11+80*AB11*AB11-180*AB11+144)/10</f>
        <v>3.2867099999999936</v>
      </c>
      <c r="AC12">
        <f t="shared" ref="AC12" si="27">(AC11*AC11*AC11*AC11-15*AC11*AC11*AC11+80*AC11*AC11-180*AC11+144)/10</f>
        <v>3.4386370560000161</v>
      </c>
      <c r="AD12">
        <f t="shared" ref="AD12" si="28">(AD11*AD11*AD11*AD11-15*AD11*AD11*AD11+80*AD11*AD11-180*AD11+144)/10</f>
        <v>3.5944481760000371</v>
      </c>
      <c r="AE12">
        <f t="shared" ref="AE12" si="29">(AE11*AE11*AE11*AE11-15*AE11*AE11*AE11+80*AE11*AE11-180*AE11+144)/10</f>
        <v>3.7542005759999713</v>
      </c>
      <c r="AF12">
        <f t="shared" ref="AF12" si="30">(AF11*AF11*AF11*AF11-15*AF11*AF11*AF11+80*AF11*AF11-180*AF11+144)/10</f>
        <v>3.9179518559999451</v>
      </c>
      <c r="AG12">
        <f t="shared" ref="AG12" si="31">(AG11*AG11*AG11*AG11-15*AG11*AG11*AG11+80*AG11*AG11-180*AG11+144)/10</f>
        <v>4.0857599999998913</v>
      </c>
    </row>
    <row r="15" spans="1:35" x14ac:dyDescent="0.5">
      <c r="A15" s="6" t="s">
        <v>13</v>
      </c>
    </row>
    <row r="16" spans="1:35" x14ac:dyDescent="0.5">
      <c r="A16" s="4" t="s">
        <v>11</v>
      </c>
      <c r="B16" s="4"/>
    </row>
    <row r="17" spans="1:2" x14ac:dyDescent="0.5">
      <c r="A17" s="4" t="s">
        <v>12</v>
      </c>
      <c r="B17" s="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1389743</xdr:colOff>
                    <xdr:row>10</xdr:row>
                    <xdr:rowOff>58057</xdr:rowOff>
                  </from>
                  <to>
                    <xdr:col>1</xdr:col>
                    <xdr:colOff>7257</xdr:colOff>
                    <xdr:row>13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梯度下降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2021-11-27T11:26:47Z</dcterms:created>
  <dcterms:modified xsi:type="dcterms:W3CDTF">2022-03-14T02:12:38Z</dcterms:modified>
</cp:coreProperties>
</file>