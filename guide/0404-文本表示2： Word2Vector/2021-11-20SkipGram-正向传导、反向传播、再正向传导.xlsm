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2021-07-18《数据科学概论》new plan\2022newPPT\0404-文本表示2： Word2Vector\"/>
    </mc:Choice>
  </mc:AlternateContent>
  <xr:revisionPtr revIDLastSave="0" documentId="13_ncr:1_{B8AF1268-1952-4F84-9CDE-DBE74C6235CF}" xr6:coauthVersionLast="36" xr6:coauthVersionMax="36" xr10:uidLastSave="{00000000-0000-0000-0000-000000000000}"/>
  <bookViews>
    <workbookView xWindow="0" yWindow="0" windowWidth="22880" windowHeight="9891" xr2:uid="{00000000-000D-0000-FFFF-FFFF00000000}"/>
  </bookViews>
  <sheets>
    <sheet name="skip gram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5" i="1" l="1"/>
  <c r="I55" i="1"/>
  <c r="H55" i="1"/>
  <c r="G55" i="1"/>
  <c r="F55" i="1"/>
  <c r="E55" i="1"/>
  <c r="D55" i="1"/>
  <c r="C55" i="1"/>
  <c r="I47" i="1"/>
  <c r="I46" i="1"/>
  <c r="I45" i="1"/>
  <c r="H47" i="1"/>
  <c r="H46" i="1"/>
  <c r="H45" i="1"/>
  <c r="G47" i="1"/>
  <c r="G46" i="1"/>
  <c r="G45" i="1"/>
  <c r="F47" i="1"/>
  <c r="F46" i="1"/>
  <c r="F45" i="1"/>
  <c r="E47" i="1"/>
  <c r="E46" i="1"/>
  <c r="E45" i="1"/>
  <c r="D47" i="1"/>
  <c r="D46" i="1"/>
  <c r="D45" i="1"/>
  <c r="C47" i="1"/>
  <c r="C46" i="1"/>
  <c r="C45" i="1"/>
  <c r="B47" i="1"/>
  <c r="B46" i="1"/>
  <c r="B45" i="1"/>
  <c r="B20" i="1"/>
  <c r="E39" i="1" s="1"/>
  <c r="B21" i="1"/>
  <c r="F39" i="1" s="1"/>
  <c r="B19" i="1"/>
  <c r="B27" i="1" l="1"/>
  <c r="B34" i="1"/>
  <c r="B33" i="1"/>
  <c r="B30" i="1"/>
  <c r="B29" i="1"/>
  <c r="B32" i="1"/>
  <c r="B28" i="1"/>
  <c r="B31" i="1"/>
  <c r="D39" i="1"/>
  <c r="E31" i="1" l="1"/>
  <c r="K31" i="1" s="1"/>
  <c r="J49" i="1" s="1"/>
  <c r="E27" i="1"/>
  <c r="E30" i="1"/>
  <c r="K30" i="1" s="1"/>
  <c r="M88" i="1" s="1"/>
  <c r="E29" i="1"/>
  <c r="K29" i="1" s="1"/>
  <c r="E33" i="1"/>
  <c r="K33" i="1" s="1"/>
  <c r="E28" i="1"/>
  <c r="K28" i="1" s="1"/>
  <c r="E32" i="1"/>
  <c r="K32" i="1" s="1"/>
  <c r="E34" i="1"/>
  <c r="K34" i="1" s="1"/>
  <c r="L88" i="1" l="1"/>
  <c r="K27" i="1"/>
  <c r="M85" i="1" s="1"/>
  <c r="J28" i="1"/>
  <c r="C40" i="1"/>
  <c r="H40" i="1" s="1"/>
  <c r="C67" i="1" s="1"/>
  <c r="C80" i="1" s="1"/>
  <c r="M89" i="1"/>
  <c r="C39" i="1"/>
  <c r="J39" i="1" s="1"/>
  <c r="E66" i="1" s="1"/>
  <c r="E79" i="1" s="1"/>
  <c r="J48" i="1"/>
  <c r="M91" i="1"/>
  <c r="C42" i="1"/>
  <c r="J51" i="1"/>
  <c r="M86" i="1"/>
  <c r="C37" i="1"/>
  <c r="J46" i="1"/>
  <c r="M87" i="1"/>
  <c r="C38" i="1"/>
  <c r="J47" i="1"/>
  <c r="J52" i="1"/>
  <c r="M92" i="1"/>
  <c r="C43" i="1"/>
  <c r="M90" i="1"/>
  <c r="C41" i="1"/>
  <c r="J50" i="1"/>
  <c r="J45" i="1" l="1"/>
  <c r="L46" i="1" s="1"/>
  <c r="B54" i="1" s="1"/>
  <c r="C36" i="1"/>
  <c r="H36" i="1" s="1"/>
  <c r="C63" i="1" s="1"/>
  <c r="C76" i="1" s="1"/>
  <c r="J40" i="1"/>
  <c r="E67" i="1" s="1"/>
  <c r="E80" i="1" s="1"/>
  <c r="I40" i="1"/>
  <c r="D67" i="1" s="1"/>
  <c r="D80" i="1" s="1"/>
  <c r="I39" i="1"/>
  <c r="D66" i="1" s="1"/>
  <c r="D79" i="1" s="1"/>
  <c r="H39" i="1"/>
  <c r="C66" i="1" s="1"/>
  <c r="C79" i="1" s="1"/>
  <c r="I41" i="1"/>
  <c r="D68" i="1" s="1"/>
  <c r="D81" i="1" s="1"/>
  <c r="J41" i="1"/>
  <c r="E68" i="1" s="1"/>
  <c r="E81" i="1" s="1"/>
  <c r="H41" i="1"/>
  <c r="C68" i="1" s="1"/>
  <c r="C81" i="1" s="1"/>
  <c r="I37" i="1"/>
  <c r="D64" i="1" s="1"/>
  <c r="D77" i="1" s="1"/>
  <c r="J37" i="1"/>
  <c r="E64" i="1" s="1"/>
  <c r="E77" i="1" s="1"/>
  <c r="H37" i="1"/>
  <c r="C64" i="1" s="1"/>
  <c r="C77" i="1" s="1"/>
  <c r="H43" i="1"/>
  <c r="C70" i="1" s="1"/>
  <c r="C83" i="1" s="1"/>
  <c r="I43" i="1"/>
  <c r="D70" i="1" s="1"/>
  <c r="D83" i="1" s="1"/>
  <c r="J43" i="1"/>
  <c r="E70" i="1" s="1"/>
  <c r="E83" i="1" s="1"/>
  <c r="I38" i="1"/>
  <c r="D65" i="1" s="1"/>
  <c r="D78" i="1" s="1"/>
  <c r="J38" i="1"/>
  <c r="E65" i="1" s="1"/>
  <c r="E78" i="1" s="1"/>
  <c r="H38" i="1"/>
  <c r="C65" i="1" s="1"/>
  <c r="C78" i="1" s="1"/>
  <c r="I42" i="1"/>
  <c r="D69" i="1" s="1"/>
  <c r="D82" i="1" s="1"/>
  <c r="J42" i="1"/>
  <c r="E69" i="1" s="1"/>
  <c r="E82" i="1" s="1"/>
  <c r="H42" i="1"/>
  <c r="C69" i="1" s="1"/>
  <c r="C82" i="1" s="1"/>
  <c r="I36" i="1" l="1"/>
  <c r="D63" i="1" s="1"/>
  <c r="D76" i="1" s="1"/>
  <c r="J36" i="1"/>
  <c r="E63" i="1" s="1"/>
  <c r="E76" i="1" s="1"/>
  <c r="L48" i="1"/>
  <c r="B56" i="1" s="1"/>
  <c r="L56" i="1" s="1"/>
  <c r="C61" i="1" s="1"/>
  <c r="C74" i="1" s="1"/>
  <c r="L47" i="1"/>
  <c r="B55" i="1" s="1"/>
  <c r="P55" i="1" s="1"/>
  <c r="G60" i="1" s="1"/>
  <c r="G73" i="1" s="1"/>
  <c r="L54" i="1"/>
  <c r="C59" i="1" s="1"/>
  <c r="C72" i="1" s="1"/>
  <c r="O54" i="1"/>
  <c r="F59" i="1" s="1"/>
  <c r="F72" i="1" s="1"/>
  <c r="Q54" i="1"/>
  <c r="H59" i="1" s="1"/>
  <c r="H72" i="1" s="1"/>
  <c r="R54" i="1"/>
  <c r="I59" i="1" s="1"/>
  <c r="I72" i="1" s="1"/>
  <c r="P54" i="1"/>
  <c r="G59" i="1" s="1"/>
  <c r="G72" i="1" s="1"/>
  <c r="N54" i="1"/>
  <c r="E59" i="1" s="1"/>
  <c r="E72" i="1" s="1"/>
  <c r="S54" i="1"/>
  <c r="J59" i="1" s="1"/>
  <c r="J72" i="1" s="1"/>
  <c r="M54" i="1"/>
  <c r="D59" i="1" s="1"/>
  <c r="D72" i="1" s="1"/>
  <c r="N72" i="1" s="1"/>
  <c r="G77" i="1" s="1"/>
  <c r="N56" i="1" l="1"/>
  <c r="E61" i="1" s="1"/>
  <c r="E74" i="1" s="1"/>
  <c r="R56" i="1"/>
  <c r="I61" i="1" s="1"/>
  <c r="I74" i="1" s="1"/>
  <c r="P56" i="1"/>
  <c r="G61" i="1" s="1"/>
  <c r="G74" i="1" s="1"/>
  <c r="Q55" i="1"/>
  <c r="H60" i="1" s="1"/>
  <c r="H73" i="1" s="1"/>
  <c r="M55" i="1"/>
  <c r="D60" i="1" s="1"/>
  <c r="D73" i="1" s="1"/>
  <c r="N73" i="1" s="1"/>
  <c r="G78" i="1" s="1"/>
  <c r="S55" i="1"/>
  <c r="J60" i="1" s="1"/>
  <c r="J73" i="1" s="1"/>
  <c r="R55" i="1"/>
  <c r="I60" i="1" s="1"/>
  <c r="I73" i="1" s="1"/>
  <c r="M56" i="1"/>
  <c r="D61" i="1" s="1"/>
  <c r="D74" i="1" s="1"/>
  <c r="N74" i="1" s="1"/>
  <c r="G79" i="1" s="1"/>
  <c r="O55" i="1"/>
  <c r="F60" i="1" s="1"/>
  <c r="F73" i="1" s="1"/>
  <c r="O56" i="1"/>
  <c r="F61" i="1" s="1"/>
  <c r="F74" i="1" s="1"/>
  <c r="L55" i="1"/>
  <c r="C60" i="1" s="1"/>
  <c r="C73" i="1" s="1"/>
  <c r="Q56" i="1"/>
  <c r="H61" i="1" s="1"/>
  <c r="H74" i="1" s="1"/>
  <c r="N55" i="1"/>
  <c r="E60" i="1" s="1"/>
  <c r="E73" i="1" s="1"/>
  <c r="S56" i="1"/>
  <c r="J61" i="1" s="1"/>
  <c r="J74" i="1" s="1"/>
  <c r="H80" i="1" l="1"/>
  <c r="H77" i="1"/>
  <c r="H82" i="1"/>
  <c r="H83" i="1"/>
  <c r="H81" i="1"/>
  <c r="H78" i="1"/>
  <c r="H76" i="1"/>
  <c r="H79" i="1"/>
  <c r="J80" i="1" l="1"/>
  <c r="K89" i="1" s="1"/>
  <c r="J81" i="1"/>
  <c r="K90" i="1" s="1"/>
  <c r="J79" i="1"/>
  <c r="K88" i="1" s="1"/>
  <c r="J83" i="1"/>
  <c r="K92" i="1" s="1"/>
  <c r="J76" i="1"/>
  <c r="J78" i="1"/>
  <c r="K87" i="1" s="1"/>
  <c r="J77" i="1"/>
  <c r="K86" i="1" s="1"/>
  <c r="J82" i="1"/>
  <c r="K91" i="1" s="1"/>
  <c r="K85" i="1" l="1"/>
  <c r="J88" i="1"/>
</calcChain>
</file>

<file path=xl/sharedStrings.xml><?xml version="1.0" encoding="utf-8"?>
<sst xmlns="http://schemas.openxmlformats.org/spreadsheetml/2006/main" count="74" uniqueCount="39">
  <si>
    <t>Man</t>
  </si>
  <si>
    <t>Passes</t>
  </si>
  <si>
    <t>Sentence</t>
  </si>
  <si>
    <t>Should</t>
  </si>
  <si>
    <t>swing</t>
  </si>
  <si>
    <t>sword</t>
  </si>
  <si>
    <t>The</t>
  </si>
  <si>
    <t>who</t>
  </si>
  <si>
    <t>W</t>
    <phoneticPr fontId="1" type="noConversion"/>
  </si>
  <si>
    <t>W[1]</t>
    <phoneticPr fontId="1" type="noConversion"/>
  </si>
  <si>
    <t>X</t>
    <phoneticPr fontId="1" type="noConversion"/>
  </si>
  <si>
    <t>W[1]X</t>
    <phoneticPr fontId="1" type="noConversion"/>
  </si>
  <si>
    <t>W'</t>
    <phoneticPr fontId="1" type="noConversion"/>
  </si>
  <si>
    <t>W[2]</t>
    <phoneticPr fontId="1" type="noConversion"/>
  </si>
  <si>
    <t>Z[1]</t>
    <phoneticPr fontId="1" type="noConversion"/>
  </si>
  <si>
    <t>A[1]</t>
    <phoneticPr fontId="1" type="noConversion"/>
  </si>
  <si>
    <t>W[2]A[1]</t>
    <phoneticPr fontId="1" type="noConversion"/>
  </si>
  <si>
    <t>softmax</t>
    <phoneticPr fontId="1" type="noConversion"/>
  </si>
  <si>
    <t>Z[2]</t>
    <phoneticPr fontId="1" type="noConversion"/>
  </si>
  <si>
    <t>z[3]</t>
    <phoneticPr fontId="1" type="noConversion"/>
  </si>
  <si>
    <t>Y</t>
    <phoneticPr fontId="1" type="noConversion"/>
  </si>
  <si>
    <t xml:space="preserve"> dA[1] = (W[2])TdZ[2]</t>
    <phoneticPr fontId="1" type="noConversion"/>
  </si>
  <si>
    <t>dZ[1]=dA[1]</t>
    <phoneticPr fontId="1" type="noConversion"/>
  </si>
  <si>
    <t>得到</t>
    <phoneticPr fontId="1" type="noConversion"/>
  </si>
  <si>
    <t>dW[1]=dZ[1]A[0]T</t>
    <phoneticPr fontId="1" type="noConversion"/>
  </si>
  <si>
    <t>得到</t>
    <phoneticPr fontId="1" type="noConversion"/>
  </si>
  <si>
    <r>
      <t>A</t>
    </r>
    <r>
      <rPr>
        <vertAlign val="superscript"/>
        <sz val="10.5"/>
        <color theme="1"/>
        <rFont val="Times New Roman"/>
        <family val="1"/>
      </rPr>
      <t>[1]</t>
    </r>
    <r>
      <rPr>
        <sz val="10.5"/>
        <color theme="1"/>
        <rFont val="Times New Roman"/>
        <family val="1"/>
      </rPr>
      <t xml:space="preserve"> = Z</t>
    </r>
    <r>
      <rPr>
        <vertAlign val="superscript"/>
        <sz val="10.5"/>
        <color theme="1"/>
        <rFont val="Times New Roman"/>
        <family val="1"/>
      </rPr>
      <t>[1]</t>
    </r>
    <r>
      <rPr>
        <sz val="10.5"/>
        <color theme="1"/>
        <rFont val="Times New Roman"/>
        <family val="1"/>
      </rPr>
      <t xml:space="preserve"> = W</t>
    </r>
    <r>
      <rPr>
        <vertAlign val="superscript"/>
        <sz val="10.5"/>
        <color theme="1"/>
        <rFont val="Times New Roman"/>
        <family val="1"/>
      </rPr>
      <t>[1]</t>
    </r>
    <r>
      <rPr>
        <sz val="10.5"/>
        <color theme="1"/>
        <rFont val="Times New Roman"/>
        <family val="1"/>
      </rPr>
      <t>X</t>
    </r>
  </si>
  <si>
    <t>得到</t>
    <phoneticPr fontId="1" type="noConversion"/>
  </si>
  <si>
    <t>A[2]=Z[2]=W[2]A[1]</t>
    <phoneticPr fontId="1" type="noConversion"/>
  </si>
  <si>
    <t>softmax</t>
    <phoneticPr fontId="1" type="noConversion"/>
  </si>
  <si>
    <t>W[1]=W[1]-0.2*dW[1]</t>
    <phoneticPr fontId="1" type="noConversion"/>
  </si>
  <si>
    <t>W[2]=W[2]-0.2*dW[2]</t>
    <phoneticPr fontId="1" type="noConversion"/>
  </si>
  <si>
    <r>
      <rPr>
        <sz val="12"/>
        <color theme="1"/>
        <rFont val="宋体"/>
        <family val="3"/>
        <charset val="134"/>
      </rPr>
      <t>原始</t>
    </r>
    <r>
      <rPr>
        <sz val="12"/>
        <color theme="1"/>
        <rFont val="Times New Roman"/>
        <family val="1"/>
      </rPr>
      <t>W[1]</t>
    </r>
    <phoneticPr fontId="1" type="noConversion"/>
  </si>
  <si>
    <r>
      <rPr>
        <sz val="12"/>
        <color theme="1"/>
        <rFont val="宋体"/>
        <family val="3"/>
        <charset val="134"/>
      </rPr>
      <t>原始</t>
    </r>
    <r>
      <rPr>
        <sz val="12"/>
        <color theme="1"/>
        <rFont val="Times New Roman"/>
        <family val="1"/>
      </rPr>
      <t>W[2]</t>
    </r>
    <phoneticPr fontId="1" type="noConversion"/>
  </si>
  <si>
    <t>A[2]</t>
    <phoneticPr fontId="1" type="noConversion"/>
  </si>
  <si>
    <t>current</t>
    <phoneticPr fontId="1" type="noConversion"/>
  </si>
  <si>
    <t>previous</t>
    <phoneticPr fontId="1" type="noConversion"/>
  </si>
  <si>
    <t>损失函数</t>
    <phoneticPr fontId="1" type="noConversion"/>
  </si>
  <si>
    <t>损失函数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</si>
</sst>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0.0000_ 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7.5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0.5"/>
      <color theme="1"/>
      <name val="Times New Roman"/>
      <family val="1"/>
    </font>
    <font>
      <vertAlign val="superscript"/>
      <sz val="10.5"/>
      <color theme="1"/>
      <name val="Times New Roman"/>
      <family val="1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1" xfId="0" applyFont="1" applyBorder="1" applyAlignment="1">
      <alignment horizontal="justify" vertical="center" wrapText="1"/>
    </xf>
    <xf numFmtId="0" fontId="2" fillId="0" borderId="2" xfId="0" applyFont="1" applyBorder="1" applyAlignment="1">
      <alignment horizontal="justify" vertical="center" wrapText="1"/>
    </xf>
    <xf numFmtId="0" fontId="2" fillId="0" borderId="3" xfId="0" applyFont="1" applyBorder="1" applyAlignment="1">
      <alignment horizontal="justify" vertical="center" wrapText="1"/>
    </xf>
    <xf numFmtId="0" fontId="2" fillId="0" borderId="4" xfId="0" applyFont="1" applyBorder="1" applyAlignment="1">
      <alignment horizontal="justify" vertical="center" wrapText="1"/>
    </xf>
    <xf numFmtId="0" fontId="3" fillId="0" borderId="1" xfId="0" applyFont="1" applyBorder="1" applyAlignment="1">
      <alignment horizontal="justify" vertical="center" wrapText="1"/>
    </xf>
    <xf numFmtId="0" fontId="3" fillId="0" borderId="2" xfId="0" applyFont="1" applyBorder="1" applyAlignment="1">
      <alignment horizontal="justify" vertical="center" wrapText="1"/>
    </xf>
    <xf numFmtId="0" fontId="3" fillId="0" borderId="3" xfId="0" applyFont="1" applyBorder="1" applyAlignment="1">
      <alignment horizontal="justify" vertical="center" wrapText="1"/>
    </xf>
    <xf numFmtId="0" fontId="3" fillId="0" borderId="4" xfId="0" applyFont="1" applyBorder="1" applyAlignment="1">
      <alignment horizontal="justify" vertical="center" wrapText="1"/>
    </xf>
    <xf numFmtId="0" fontId="3" fillId="0" borderId="5" xfId="0" applyFont="1" applyBorder="1" applyAlignment="1">
      <alignment horizontal="justify" vertical="center" wrapText="1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3" fillId="0" borderId="5" xfId="0" applyFont="1" applyBorder="1">
      <alignment vertical="center"/>
    </xf>
    <xf numFmtId="176" fontId="3" fillId="0" borderId="5" xfId="0" applyNumberFormat="1" applyFont="1" applyBorder="1" applyAlignment="1">
      <alignment horizontal="justify" vertical="center" wrapText="1"/>
    </xf>
    <xf numFmtId="176" fontId="3" fillId="0" borderId="0" xfId="0" applyNumberFormat="1" applyFont="1">
      <alignment vertical="center"/>
    </xf>
    <xf numFmtId="176" fontId="3" fillId="0" borderId="5" xfId="0" applyNumberFormat="1" applyFont="1" applyBorder="1">
      <alignment vertical="center"/>
    </xf>
    <xf numFmtId="176" fontId="3" fillId="0" borderId="6" xfId="0" applyNumberFormat="1" applyFont="1" applyBorder="1" applyAlignment="1">
      <alignment horizontal="justify" vertical="center" wrapText="1"/>
    </xf>
    <xf numFmtId="176" fontId="3" fillId="2" borderId="5" xfId="0" applyNumberFormat="1" applyFont="1" applyFill="1" applyBorder="1">
      <alignment vertical="center"/>
    </xf>
    <xf numFmtId="0" fontId="5" fillId="0" borderId="0" xfId="0" applyFont="1" applyAlignment="1">
      <alignment horizontal="justify" vertical="center"/>
    </xf>
    <xf numFmtId="177" fontId="3" fillId="0" borderId="5" xfId="0" applyNumberFormat="1" applyFont="1" applyBorder="1">
      <alignment vertical="center"/>
    </xf>
    <xf numFmtId="177" fontId="3" fillId="0" borderId="0" xfId="0" applyNumberFormat="1" applyFont="1">
      <alignment vertical="center"/>
    </xf>
    <xf numFmtId="176" fontId="3" fillId="0" borderId="5" xfId="0" applyNumberFormat="1" applyFont="1" applyFill="1" applyBorder="1">
      <alignment vertical="center"/>
    </xf>
    <xf numFmtId="0" fontId="3" fillId="3" borderId="0" xfId="0" applyFont="1" applyFill="1">
      <alignment vertical="center"/>
    </xf>
    <xf numFmtId="0" fontId="5" fillId="3" borderId="0" xfId="0" applyFont="1" applyFill="1" applyAlignment="1">
      <alignment horizontal="justify" vertical="center"/>
    </xf>
    <xf numFmtId="0" fontId="5" fillId="3" borderId="0" xfId="0" applyFont="1" applyFill="1">
      <alignment vertical="center"/>
    </xf>
    <xf numFmtId="0" fontId="4" fillId="3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499110</xdr:colOff>
      <xdr:row>34</xdr:row>
      <xdr:rowOff>171450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16830"/>
          <a:ext cx="1169670" cy="171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extLst/>
      </xdr:spPr>
    </xdr:pic>
    <xdr:clientData/>
  </xdr:twoCellAnchor>
  <xdr:twoCellAnchor>
    <xdr:from>
      <xdr:col>0</xdr:col>
      <xdr:colOff>37374</xdr:colOff>
      <xdr:row>9</xdr:row>
      <xdr:rowOff>118291</xdr:rowOff>
    </xdr:from>
    <xdr:to>
      <xdr:col>0</xdr:col>
      <xdr:colOff>656590</xdr:colOff>
      <xdr:row>11</xdr:row>
      <xdr:rowOff>15331</xdr:rowOff>
    </xdr:to>
    <xdr:sp macro="" textlink="">
      <xdr:nvSpPr>
        <xdr:cNvPr id="3" name="椭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374" y="1852748"/>
          <a:ext cx="619216" cy="48486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2400"/>
            <a:t>1</a:t>
          </a:r>
          <a:endParaRPr lang="zh-CN" altLang="en-US" sz="2400"/>
        </a:p>
      </xdr:txBody>
    </xdr:sp>
    <xdr:clientData/>
  </xdr:twoCellAnchor>
  <xdr:twoCellAnchor>
    <xdr:from>
      <xdr:col>0</xdr:col>
      <xdr:colOff>30480</xdr:colOff>
      <xdr:row>18</xdr:row>
      <xdr:rowOff>80010</xdr:rowOff>
    </xdr:from>
    <xdr:to>
      <xdr:col>0</xdr:col>
      <xdr:colOff>649696</xdr:colOff>
      <xdr:row>20</xdr:row>
      <xdr:rowOff>180702</xdr:rowOff>
    </xdr:to>
    <xdr:sp macro="" textlink="">
      <xdr:nvSpPr>
        <xdr:cNvPr id="4" name="椭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480" y="3766639"/>
          <a:ext cx="619216" cy="4853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2400"/>
            <a:t>2</a:t>
          </a:r>
          <a:endParaRPr lang="zh-CN" altLang="en-US" sz="2400"/>
        </a:p>
      </xdr:txBody>
    </xdr:sp>
    <xdr:clientData/>
  </xdr:twoCellAnchor>
  <xdr:twoCellAnchor>
    <xdr:from>
      <xdr:col>0</xdr:col>
      <xdr:colOff>26670</xdr:colOff>
      <xdr:row>22</xdr:row>
      <xdr:rowOff>171450</xdr:rowOff>
    </xdr:from>
    <xdr:to>
      <xdr:col>0</xdr:col>
      <xdr:colOff>645886</xdr:colOff>
      <xdr:row>25</xdr:row>
      <xdr:rowOff>79828</xdr:rowOff>
    </xdr:to>
    <xdr:sp macro="" textlink="">
      <xdr:nvSpPr>
        <xdr:cNvPr id="5" name="椭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670" y="4627336"/>
          <a:ext cx="619216" cy="48532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2400"/>
            <a:t>3</a:t>
          </a:r>
          <a:endParaRPr lang="zh-CN" altLang="en-US" sz="2400"/>
        </a:p>
      </xdr:txBody>
    </xdr:sp>
    <xdr:clientData/>
  </xdr:twoCellAnchor>
  <xdr:twoCellAnchor>
    <xdr:from>
      <xdr:col>0</xdr:col>
      <xdr:colOff>34290</xdr:colOff>
      <xdr:row>29</xdr:row>
      <xdr:rowOff>99060</xdr:rowOff>
    </xdr:from>
    <xdr:to>
      <xdr:col>0</xdr:col>
      <xdr:colOff>609600</xdr:colOff>
      <xdr:row>31</xdr:row>
      <xdr:rowOff>170543</xdr:rowOff>
    </xdr:to>
    <xdr:sp macro="" textlink="">
      <xdr:nvSpPr>
        <xdr:cNvPr id="6" name="椭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4290" y="5915660"/>
          <a:ext cx="575310" cy="46336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2400"/>
            <a:t>4</a:t>
          </a:r>
          <a:endParaRPr lang="zh-CN" altLang="en-US" sz="2400"/>
        </a:p>
      </xdr:txBody>
    </xdr:sp>
    <xdr:clientData/>
  </xdr:twoCellAnchor>
  <xdr:twoCellAnchor>
    <xdr:from>
      <xdr:col>2</xdr:col>
      <xdr:colOff>541021</xdr:colOff>
      <xdr:row>29</xdr:row>
      <xdr:rowOff>76201</xdr:rowOff>
    </xdr:from>
    <xdr:to>
      <xdr:col>3</xdr:col>
      <xdr:colOff>489858</xdr:colOff>
      <xdr:row>31</xdr:row>
      <xdr:rowOff>181429</xdr:rowOff>
    </xdr:to>
    <xdr:sp macro="" textlink="">
      <xdr:nvSpPr>
        <xdr:cNvPr id="7" name="椭圆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068650" y="5892801"/>
          <a:ext cx="620122" cy="49711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2400"/>
            <a:t>5</a:t>
          </a:r>
          <a:endParaRPr lang="zh-CN" altLang="en-US" sz="2400"/>
        </a:p>
      </xdr:txBody>
    </xdr:sp>
    <xdr:clientData/>
  </xdr:twoCellAnchor>
  <xdr:twoCellAnchor>
    <xdr:from>
      <xdr:col>5</xdr:col>
      <xdr:colOff>335280</xdr:colOff>
      <xdr:row>29</xdr:row>
      <xdr:rowOff>26670</xdr:rowOff>
    </xdr:from>
    <xdr:to>
      <xdr:col>6</xdr:col>
      <xdr:colOff>257629</xdr:colOff>
      <xdr:row>31</xdr:row>
      <xdr:rowOff>90713</xdr:rowOff>
    </xdr:to>
    <xdr:sp macro="" textlink="">
      <xdr:nvSpPr>
        <xdr:cNvPr id="8" name="椭圆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876766" y="5843270"/>
          <a:ext cx="593634" cy="45592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2400"/>
            <a:t>6</a:t>
          </a:r>
          <a:endParaRPr lang="zh-CN" altLang="en-US" sz="2400"/>
        </a:p>
      </xdr:txBody>
    </xdr:sp>
    <xdr:clientData/>
  </xdr:twoCellAnchor>
  <xdr:twoCellAnchor>
    <xdr:from>
      <xdr:col>9</xdr:col>
      <xdr:colOff>7621</xdr:colOff>
      <xdr:row>29</xdr:row>
      <xdr:rowOff>144781</xdr:rowOff>
    </xdr:from>
    <xdr:to>
      <xdr:col>9</xdr:col>
      <xdr:colOff>533401</xdr:colOff>
      <xdr:row>32</xdr:row>
      <xdr:rowOff>54430</xdr:rowOff>
    </xdr:to>
    <xdr:sp macro="" textlink="">
      <xdr:nvSpPr>
        <xdr:cNvPr id="9" name="椭圆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234250" y="5957752"/>
          <a:ext cx="525780" cy="497478"/>
        </a:xfrm>
        <a:prstGeom prst="ellips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2400"/>
            <a:t>7</a:t>
          </a:r>
          <a:endParaRPr lang="zh-CN" altLang="en-US" sz="2400"/>
        </a:p>
      </xdr:txBody>
    </xdr:sp>
    <xdr:clientData/>
  </xdr:twoCellAnchor>
  <xdr:twoCellAnchor>
    <xdr:from>
      <xdr:col>0</xdr:col>
      <xdr:colOff>520338</xdr:colOff>
      <xdr:row>35</xdr:row>
      <xdr:rowOff>142602</xdr:rowOff>
    </xdr:from>
    <xdr:to>
      <xdr:col>1</xdr:col>
      <xdr:colOff>228601</xdr:colOff>
      <xdr:row>38</xdr:row>
      <xdr:rowOff>94343</xdr:rowOff>
    </xdr:to>
    <xdr:sp macro="" textlink="">
      <xdr:nvSpPr>
        <xdr:cNvPr id="10" name="椭圆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20338" y="7131231"/>
          <a:ext cx="564606" cy="52868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2400"/>
            <a:t>8</a:t>
          </a:r>
          <a:endParaRPr lang="zh-CN" altLang="en-US" sz="2400"/>
        </a:p>
      </xdr:txBody>
    </xdr:sp>
    <xdr:clientData/>
  </xdr:twoCellAnchor>
  <xdr:twoCellAnchor>
    <xdr:from>
      <xdr:col>0</xdr:col>
      <xdr:colOff>156210</xdr:colOff>
      <xdr:row>49</xdr:row>
      <xdr:rowOff>179071</xdr:rowOff>
    </xdr:from>
    <xdr:to>
      <xdr:col>0</xdr:col>
      <xdr:colOff>693057</xdr:colOff>
      <xdr:row>52</xdr:row>
      <xdr:rowOff>72572</xdr:rowOff>
    </xdr:to>
    <xdr:sp macro="" textlink="">
      <xdr:nvSpPr>
        <xdr:cNvPr id="11" name="椭圆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6210" y="10008871"/>
          <a:ext cx="536847" cy="47044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2400"/>
            <a:t>9</a:t>
          </a:r>
          <a:endParaRPr lang="zh-CN" altLang="en-US" sz="2400"/>
        </a:p>
      </xdr:txBody>
    </xdr:sp>
    <xdr:clientData/>
  </xdr:twoCellAnchor>
  <xdr:twoCellAnchor>
    <xdr:from>
      <xdr:col>0</xdr:col>
      <xdr:colOff>224789</xdr:colOff>
      <xdr:row>57</xdr:row>
      <xdr:rowOff>148590</xdr:rowOff>
    </xdr:from>
    <xdr:to>
      <xdr:col>0</xdr:col>
      <xdr:colOff>783770</xdr:colOff>
      <xdr:row>60</xdr:row>
      <xdr:rowOff>58057</xdr:rowOff>
    </xdr:to>
    <xdr:sp macro="" textlink="">
      <xdr:nvSpPr>
        <xdr:cNvPr id="12" name="椭圆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24789" y="11516904"/>
          <a:ext cx="558981" cy="48641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600"/>
            <a:t>10</a:t>
          </a:r>
          <a:endParaRPr lang="zh-CN" altLang="en-US" sz="1600"/>
        </a:p>
      </xdr:txBody>
    </xdr:sp>
    <xdr:clientData/>
  </xdr:twoCellAnchor>
  <xdr:twoCellAnchor>
    <xdr:from>
      <xdr:col>0</xdr:col>
      <xdr:colOff>201931</xdr:colOff>
      <xdr:row>63</xdr:row>
      <xdr:rowOff>133351</xdr:rowOff>
    </xdr:from>
    <xdr:to>
      <xdr:col>0</xdr:col>
      <xdr:colOff>801915</xdr:colOff>
      <xdr:row>66</xdr:row>
      <xdr:rowOff>43544</xdr:rowOff>
    </xdr:to>
    <xdr:sp macro="" textlink="">
      <xdr:nvSpPr>
        <xdr:cNvPr id="13" name="椭圆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01931" y="12655551"/>
          <a:ext cx="599984" cy="48713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600"/>
            <a:t>11</a:t>
          </a:r>
          <a:endParaRPr lang="zh-CN" alt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250371</xdr:colOff>
          <xdr:row>32</xdr:row>
          <xdr:rowOff>32657</xdr:rowOff>
        </xdr:from>
        <xdr:to>
          <xdr:col>15</xdr:col>
          <xdr:colOff>410029</xdr:colOff>
          <xdr:row>34</xdr:row>
          <xdr:rowOff>192314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（1）初始化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254000</xdr:colOff>
          <xdr:row>36</xdr:row>
          <xdr:rowOff>170543</xdr:rowOff>
        </xdr:from>
        <xdr:to>
          <xdr:col>15</xdr:col>
          <xdr:colOff>402771</xdr:colOff>
          <xdr:row>39</xdr:row>
          <xdr:rowOff>130629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（2）迭代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290286</xdr:colOff>
      <xdr:row>27</xdr:row>
      <xdr:rowOff>14515</xdr:rowOff>
    </xdr:from>
    <xdr:to>
      <xdr:col>13</xdr:col>
      <xdr:colOff>457199</xdr:colOff>
      <xdr:row>28</xdr:row>
      <xdr:rowOff>18144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E5132923-09D3-4A19-9D20-446EAA53EC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9486" y="5439229"/>
          <a:ext cx="1389742" cy="19957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  <xdr:twoCellAnchor>
    <xdr:from>
      <xdr:col>10</xdr:col>
      <xdr:colOff>47172</xdr:colOff>
      <xdr:row>26</xdr:row>
      <xdr:rowOff>54428</xdr:rowOff>
    </xdr:from>
    <xdr:to>
      <xdr:col>12</xdr:col>
      <xdr:colOff>7257</xdr:colOff>
      <xdr:row>34</xdr:row>
      <xdr:rowOff>7257</xdr:rowOff>
    </xdr:to>
    <xdr:sp macro="" textlink="">
      <xdr:nvSpPr>
        <xdr:cNvPr id="14" name="矩形: 圆角 13">
          <a:extLst>
            <a:ext uri="{FF2B5EF4-FFF2-40B4-BE49-F238E27FC236}">
              <a16:creationId xmlns:a16="http://schemas.microsoft.com/office/drawing/2014/main" id="{DC0C8DBE-3657-4A23-85E0-046B848AEF8D}"/>
            </a:ext>
          </a:extLst>
        </xdr:cNvPr>
        <xdr:cNvSpPr/>
      </xdr:nvSpPr>
      <xdr:spPr>
        <a:xfrm>
          <a:off x="6945086" y="5279571"/>
          <a:ext cx="1302657" cy="1520372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293914</xdr:colOff>
      <xdr:row>92</xdr:row>
      <xdr:rowOff>21771</xdr:rowOff>
    </xdr:from>
    <xdr:to>
      <xdr:col>15</xdr:col>
      <xdr:colOff>7255</xdr:colOff>
      <xdr:row>93</xdr:row>
      <xdr:rowOff>29029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19EFEB91-24B6-4106-B9AC-930C6005EF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8338800"/>
          <a:ext cx="1484084" cy="19957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  <xdr:twoCellAnchor>
    <xdr:from>
      <xdr:col>9</xdr:col>
      <xdr:colOff>522515</xdr:colOff>
      <xdr:row>92</xdr:row>
      <xdr:rowOff>29029</xdr:rowOff>
    </xdr:from>
    <xdr:to>
      <xdr:col>11</xdr:col>
      <xdr:colOff>664028</xdr:colOff>
      <xdr:row>93</xdr:row>
      <xdr:rowOff>36287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CE9DF6C6-1FF0-417C-8C7B-D4946B6EC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9144" y="18346058"/>
          <a:ext cx="1484084" cy="19957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  <xdr:twoCellAnchor>
    <xdr:from>
      <xdr:col>10</xdr:col>
      <xdr:colOff>497115</xdr:colOff>
      <xdr:row>80</xdr:row>
      <xdr:rowOff>130629</xdr:rowOff>
    </xdr:from>
    <xdr:to>
      <xdr:col>15</xdr:col>
      <xdr:colOff>446314</xdr:colOff>
      <xdr:row>83</xdr:row>
      <xdr:rowOff>50800</xdr:rowOff>
    </xdr:to>
    <xdr:sp macro="" textlink="">
      <xdr:nvSpPr>
        <xdr:cNvPr id="15" name="矩形 14">
          <a:extLst>
            <a:ext uri="{FF2B5EF4-FFF2-40B4-BE49-F238E27FC236}">
              <a16:creationId xmlns:a16="http://schemas.microsoft.com/office/drawing/2014/main" id="{0F0A0654-0DEF-4970-861C-3E4554B8EFBB}"/>
            </a:ext>
          </a:extLst>
        </xdr:cNvPr>
        <xdr:cNvSpPr/>
      </xdr:nvSpPr>
      <xdr:spPr>
        <a:xfrm>
          <a:off x="7395029" y="16107229"/>
          <a:ext cx="3062514" cy="49711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上次迭代到本次迭代的误差变化（交叉熵损失函数对</a:t>
          </a:r>
          <a:r>
            <a:rPr lang="en-US" altLang="zh-CN" sz="1100">
              <a:solidFill>
                <a:sysClr val="windowText" lastClr="000000"/>
              </a:solidFill>
            </a:rPr>
            <a:t>Z[2]</a:t>
          </a:r>
          <a:r>
            <a:rPr lang="zh-CN" altLang="en-US" sz="1100">
              <a:solidFill>
                <a:sysClr val="windowText" lastClr="000000"/>
              </a:solidFill>
            </a:rPr>
            <a:t>求导）</a:t>
          </a:r>
        </a:p>
      </xdr:txBody>
    </xdr:sp>
    <xdr:clientData/>
  </xdr:twoCellAnchor>
  <xdr:twoCellAnchor>
    <xdr:from>
      <xdr:col>13</xdr:col>
      <xdr:colOff>540658</xdr:colOff>
      <xdr:row>26</xdr:row>
      <xdr:rowOff>36286</xdr:rowOff>
    </xdr:from>
    <xdr:to>
      <xdr:col>19</xdr:col>
      <xdr:colOff>228600</xdr:colOff>
      <xdr:row>28</xdr:row>
      <xdr:rowOff>141514</xdr:rowOff>
    </xdr:to>
    <xdr:sp macro="" textlink="">
      <xdr:nvSpPr>
        <xdr:cNvPr id="24" name="矩形 23">
          <a:extLst>
            <a:ext uri="{FF2B5EF4-FFF2-40B4-BE49-F238E27FC236}">
              <a16:creationId xmlns:a16="http://schemas.microsoft.com/office/drawing/2014/main" id="{30353F2A-730D-44C3-AD95-468208E85A96}"/>
            </a:ext>
          </a:extLst>
        </xdr:cNvPr>
        <xdr:cNvSpPr/>
      </xdr:nvSpPr>
      <xdr:spPr>
        <a:xfrm>
          <a:off x="9427029" y="5261429"/>
          <a:ext cx="3062514" cy="49711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上次迭代到本次迭代的误差变化（交叉熵损失函数对</a:t>
          </a:r>
          <a:r>
            <a:rPr lang="en-US" altLang="zh-CN" sz="1100">
              <a:solidFill>
                <a:sysClr val="windowText" lastClr="000000"/>
              </a:solidFill>
            </a:rPr>
            <a:t>Z[2]</a:t>
          </a:r>
          <a:r>
            <a:rPr lang="zh-CN" altLang="en-US" sz="1100">
              <a:solidFill>
                <a:sysClr val="windowText" lastClr="000000"/>
              </a:solidFill>
            </a:rPr>
            <a:t>求导）</a:t>
          </a:r>
        </a:p>
      </xdr:txBody>
    </xdr:sp>
    <xdr:clientData/>
  </xdr:twoCellAnchor>
  <xdr:twoCellAnchor>
    <xdr:from>
      <xdr:col>8</xdr:col>
      <xdr:colOff>391886</xdr:colOff>
      <xdr:row>28</xdr:row>
      <xdr:rowOff>123372</xdr:rowOff>
    </xdr:from>
    <xdr:to>
      <xdr:col>10</xdr:col>
      <xdr:colOff>123372</xdr:colOff>
      <xdr:row>30</xdr:row>
      <xdr:rowOff>166915</xdr:rowOff>
    </xdr:to>
    <xdr:pic>
      <xdr:nvPicPr>
        <xdr:cNvPr id="25" name="图片 24">
          <a:extLst>
            <a:ext uri="{FF2B5EF4-FFF2-40B4-BE49-F238E27FC236}">
              <a16:creationId xmlns:a16="http://schemas.microsoft.com/office/drawing/2014/main" id="{4D995562-1E4F-4CB1-9CF1-02C49839D7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7229" y="5740401"/>
          <a:ext cx="1074057" cy="435428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</xdr:pic>
    <xdr:clientData/>
  </xdr:twoCellAnchor>
  <xdr:twoCellAnchor>
    <xdr:from>
      <xdr:col>8</xdr:col>
      <xdr:colOff>533400</xdr:colOff>
      <xdr:row>87</xdr:row>
      <xdr:rowOff>188686</xdr:rowOff>
    </xdr:from>
    <xdr:to>
      <xdr:col>10</xdr:col>
      <xdr:colOff>39915</xdr:colOff>
      <xdr:row>89</xdr:row>
      <xdr:rowOff>141024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F9EA597C-D48E-4DAD-9D6A-C97A5F742F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8743" y="17526000"/>
          <a:ext cx="849086" cy="34422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</xdr:pic>
    <xdr:clientData/>
  </xdr:twoCellAnchor>
  <xdr:twoCellAnchor>
    <xdr:from>
      <xdr:col>10</xdr:col>
      <xdr:colOff>653142</xdr:colOff>
      <xdr:row>88</xdr:row>
      <xdr:rowOff>18143</xdr:rowOff>
    </xdr:from>
    <xdr:to>
      <xdr:col>12</xdr:col>
      <xdr:colOff>76199</xdr:colOff>
      <xdr:row>89</xdr:row>
      <xdr:rowOff>132590</xdr:rowOff>
    </xdr:to>
    <xdr:pic>
      <xdr:nvPicPr>
        <xdr:cNvPr id="27" name="图片 26">
          <a:extLst>
            <a:ext uri="{FF2B5EF4-FFF2-40B4-BE49-F238E27FC236}">
              <a16:creationId xmlns:a16="http://schemas.microsoft.com/office/drawing/2014/main" id="{7C7429B7-E33B-404D-A0F1-2B0718651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056" y="17551400"/>
          <a:ext cx="765629" cy="31039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2"/>
  <sheetViews>
    <sheetView tabSelected="1" topLeftCell="A22" workbookViewId="0">
      <selection activeCell="Q88" sqref="Q88"/>
    </sheetView>
  </sheetViews>
  <sheetFormatPr defaultColWidth="8.80859375" defaultRowHeight="15.15" x14ac:dyDescent="0.5"/>
  <cols>
    <col min="1" max="1" width="11.234375" style="11" customWidth="1"/>
    <col min="2" max="12" width="8.80859375" style="11"/>
    <col min="13" max="13" width="8.47265625" style="11" customWidth="1"/>
    <col min="14" max="21" width="7.37890625" style="11" customWidth="1"/>
    <col min="22" max="16384" width="8.80859375" style="11"/>
  </cols>
  <sheetData>
    <row r="1" spans="1:18" x14ac:dyDescent="0.5">
      <c r="F1" s="22" t="s">
        <v>32</v>
      </c>
      <c r="G1" s="13">
        <v>-7.8E-2</v>
      </c>
      <c r="H1" s="13">
        <v>6.8000000000000005E-2</v>
      </c>
      <c r="I1" s="13">
        <v>-0.158</v>
      </c>
      <c r="J1" s="13">
        <v>0.15</v>
      </c>
      <c r="K1" s="13">
        <v>-9.7000000000000003E-2</v>
      </c>
      <c r="L1" s="13">
        <v>3.5999999999999997E-2</v>
      </c>
      <c r="M1" s="13">
        <v>0.16800000000000001</v>
      </c>
      <c r="N1" s="13">
        <v>9.8000000000000004E-2</v>
      </c>
      <c r="O1" s="22" t="s">
        <v>33</v>
      </c>
      <c r="P1" s="13">
        <v>0.192</v>
      </c>
      <c r="Q1" s="13">
        <v>0.17599999999999999</v>
      </c>
      <c r="R1" s="13">
        <v>1.2E-2</v>
      </c>
    </row>
    <row r="2" spans="1:18" ht="15.3" x14ac:dyDescent="0.5">
      <c r="G2" s="13">
        <v>1.7999999999999999E-2</v>
      </c>
      <c r="H2" s="13">
        <v>0.17</v>
      </c>
      <c r="I2" s="13">
        <v>-8.1000000000000003E-2</v>
      </c>
      <c r="J2" s="13">
        <v>6.4000000000000001E-2</v>
      </c>
      <c r="K2" s="13">
        <v>-5.5E-2</v>
      </c>
      <c r="L2" s="13">
        <v>7.0999999999999994E-2</v>
      </c>
      <c r="M2" s="13">
        <v>-0.06</v>
      </c>
      <c r="N2" s="13">
        <v>1.4999999999999999E-2</v>
      </c>
      <c r="P2" s="13">
        <v>7.0000000000000007E-2</v>
      </c>
      <c r="Q2" s="13">
        <v>6.0999999999999999E-2</v>
      </c>
      <c r="R2" s="13">
        <v>-4.5999999999999999E-2</v>
      </c>
    </row>
    <row r="3" spans="1:18" ht="15.3" x14ac:dyDescent="0.5">
      <c r="G3" s="13">
        <v>3.3000000000000002E-2</v>
      </c>
      <c r="H3" s="13">
        <v>-0.109</v>
      </c>
      <c r="I3" s="13">
        <v>-0.151</v>
      </c>
      <c r="J3" s="13">
        <v>0.14499999999999999</v>
      </c>
      <c r="K3" s="13">
        <v>0.188</v>
      </c>
      <c r="L3" s="13">
        <v>5.8999999999999997E-2</v>
      </c>
      <c r="M3" s="13">
        <v>-5.8000000000000003E-2</v>
      </c>
      <c r="N3" s="13">
        <v>9.6000000000000002E-2</v>
      </c>
      <c r="P3" s="13">
        <v>-6.6000000000000003E-2</v>
      </c>
      <c r="Q3" s="13">
        <v>0.11700000000000001</v>
      </c>
      <c r="R3" s="13">
        <v>8.3000000000000004E-2</v>
      </c>
    </row>
    <row r="4" spans="1:18" ht="15.3" x14ac:dyDescent="0.5">
      <c r="P4" s="13">
        <v>1.4E-2</v>
      </c>
      <c r="Q4" s="13">
        <v>6.0000000000000001E-3</v>
      </c>
      <c r="R4" s="13">
        <v>-4.3999999999999997E-2</v>
      </c>
    </row>
    <row r="5" spans="1:18" ht="15.3" x14ac:dyDescent="0.5">
      <c r="P5" s="13">
        <v>-1.2E-2</v>
      </c>
      <c r="Q5" s="13">
        <v>6.7000000000000004E-2</v>
      </c>
      <c r="R5" s="13">
        <v>0.14699999999999999</v>
      </c>
    </row>
    <row r="6" spans="1:18" ht="15.3" x14ac:dyDescent="0.5">
      <c r="P6" s="13">
        <v>1.2999999999999999E-2</v>
      </c>
      <c r="Q6" s="13">
        <v>0.111</v>
      </c>
      <c r="R6" s="13">
        <v>-9.7000000000000003E-2</v>
      </c>
    </row>
    <row r="7" spans="1:18" ht="15.3" x14ac:dyDescent="0.5">
      <c r="P7" s="13">
        <v>1.6E-2</v>
      </c>
      <c r="Q7" s="13">
        <v>0.17499999999999999</v>
      </c>
      <c r="R7" s="13">
        <v>-0.19800000000000001</v>
      </c>
    </row>
    <row r="8" spans="1:18" ht="15.3" x14ac:dyDescent="0.5">
      <c r="P8" s="13">
        <v>-2.8000000000000001E-2</v>
      </c>
      <c r="Q8" s="13">
        <v>-1.6E-2</v>
      </c>
      <c r="R8" s="13">
        <v>0.14799999999999999</v>
      </c>
    </row>
    <row r="9" spans="1:18" ht="15.6" thickBot="1" x14ac:dyDescent="0.55000000000000004">
      <c r="A9" s="22" t="s">
        <v>8</v>
      </c>
      <c r="B9" s="9" t="s">
        <v>0</v>
      </c>
      <c r="C9" s="13">
        <v>-7.8E-2</v>
      </c>
      <c r="D9" s="13">
        <v>1.7999999999999999E-2</v>
      </c>
      <c r="E9" s="13">
        <v>3.3000000000000002E-2</v>
      </c>
      <c r="F9" s="22" t="s">
        <v>9</v>
      </c>
      <c r="P9" s="22" t="s">
        <v>10</v>
      </c>
      <c r="Q9" s="7" t="s">
        <v>0</v>
      </c>
      <c r="R9" s="8">
        <v>0</v>
      </c>
    </row>
    <row r="10" spans="1:18" ht="15.6" thickBot="1" x14ac:dyDescent="0.55000000000000004">
      <c r="B10" s="9" t="s">
        <v>1</v>
      </c>
      <c r="C10" s="13">
        <v>6.8000000000000005E-2</v>
      </c>
      <c r="D10" s="13">
        <v>0.17</v>
      </c>
      <c r="E10" s="13">
        <v>-0.109</v>
      </c>
      <c r="Q10" s="7" t="s">
        <v>1</v>
      </c>
      <c r="R10" s="8">
        <v>1</v>
      </c>
    </row>
    <row r="11" spans="1:18" ht="30.6" thickBot="1" x14ac:dyDescent="0.55000000000000004">
      <c r="B11" s="9" t="s">
        <v>2</v>
      </c>
      <c r="C11" s="13">
        <v>-0.158</v>
      </c>
      <c r="D11" s="13">
        <v>-8.1000000000000003E-2</v>
      </c>
      <c r="E11" s="13">
        <v>-0.151</v>
      </c>
      <c r="G11" s="13">
        <v>-7.8E-2</v>
      </c>
      <c r="H11" s="13">
        <v>5.286710299392066E-2</v>
      </c>
      <c r="I11" s="13">
        <v>-0.158</v>
      </c>
      <c r="J11" s="13">
        <v>0.15</v>
      </c>
      <c r="K11" s="13">
        <v>-9.7000000000000003E-2</v>
      </c>
      <c r="L11" s="13">
        <v>3.5999999999999997E-2</v>
      </c>
      <c r="M11" s="13">
        <v>0.16800000000000001</v>
      </c>
      <c r="N11" s="13">
        <v>9.8000000000000004E-2</v>
      </c>
      <c r="Q11" s="7" t="s">
        <v>2</v>
      </c>
      <c r="R11" s="8">
        <v>0</v>
      </c>
    </row>
    <row r="12" spans="1:18" ht="15.45" thickBot="1" x14ac:dyDescent="0.55000000000000004">
      <c r="B12" s="9" t="s">
        <v>3</v>
      </c>
      <c r="C12" s="13">
        <v>0.15</v>
      </c>
      <c r="D12" s="13">
        <v>6.4000000000000001E-2</v>
      </c>
      <c r="E12" s="13">
        <v>0.14499999999999999</v>
      </c>
      <c r="G12" s="13">
        <v>1.7999999999999999E-2</v>
      </c>
      <c r="H12" s="13">
        <v>0.84022633387589873</v>
      </c>
      <c r="I12" s="13">
        <v>-8.1000000000000003E-2</v>
      </c>
      <c r="J12" s="13">
        <v>6.4000000000000001E-2</v>
      </c>
      <c r="K12" s="13">
        <v>-5.5E-2</v>
      </c>
      <c r="L12" s="13">
        <v>7.0999999999999994E-2</v>
      </c>
      <c r="M12" s="13">
        <v>-0.06</v>
      </c>
      <c r="N12" s="13">
        <v>1.4999999999999999E-2</v>
      </c>
      <c r="Q12" s="7" t="s">
        <v>3</v>
      </c>
      <c r="R12" s="8">
        <v>0</v>
      </c>
    </row>
    <row r="13" spans="1:18" ht="15.45" thickBot="1" x14ac:dyDescent="0.55000000000000004">
      <c r="B13" s="9" t="s">
        <v>4</v>
      </c>
      <c r="C13" s="13">
        <v>-9.7000000000000003E-2</v>
      </c>
      <c r="D13" s="13">
        <v>-5.5E-2</v>
      </c>
      <c r="E13" s="13">
        <v>0.188</v>
      </c>
      <c r="G13" s="13">
        <v>3.3000000000000002E-2</v>
      </c>
      <c r="H13" s="13">
        <v>-0.81790866876147439</v>
      </c>
      <c r="I13" s="13">
        <v>-0.151</v>
      </c>
      <c r="J13" s="13">
        <v>0.14499999999999999</v>
      </c>
      <c r="K13" s="13">
        <v>0.188</v>
      </c>
      <c r="L13" s="13">
        <v>5.8999999999999997E-2</v>
      </c>
      <c r="M13" s="13">
        <v>-5.8000000000000003E-2</v>
      </c>
      <c r="N13" s="13">
        <v>9.6000000000000002E-2</v>
      </c>
      <c r="Q13" s="7" t="s">
        <v>4</v>
      </c>
      <c r="R13" s="8">
        <v>0</v>
      </c>
    </row>
    <row r="14" spans="1:18" ht="15.6" thickBot="1" x14ac:dyDescent="0.55000000000000004">
      <c r="B14" s="9" t="s">
        <v>5</v>
      </c>
      <c r="C14" s="13">
        <v>3.5999999999999997E-2</v>
      </c>
      <c r="D14" s="13">
        <v>7.0999999999999994E-2</v>
      </c>
      <c r="E14" s="13">
        <v>5.8999999999999997E-2</v>
      </c>
      <c r="Q14" s="7" t="s">
        <v>5</v>
      </c>
      <c r="R14" s="8">
        <v>0</v>
      </c>
    </row>
    <row r="15" spans="1:18" ht="15.6" thickBot="1" x14ac:dyDescent="0.55000000000000004">
      <c r="B15" s="9" t="s">
        <v>6</v>
      </c>
      <c r="C15" s="13">
        <v>0.16800000000000001</v>
      </c>
      <c r="D15" s="13">
        <v>-0.06</v>
      </c>
      <c r="E15" s="13">
        <v>-5.8000000000000003E-2</v>
      </c>
      <c r="Q15" s="7" t="s">
        <v>6</v>
      </c>
      <c r="R15" s="8">
        <v>0</v>
      </c>
    </row>
    <row r="16" spans="1:18" ht="15.6" thickBot="1" x14ac:dyDescent="0.55000000000000004">
      <c r="B16" s="9" t="s">
        <v>7</v>
      </c>
      <c r="C16" s="13">
        <v>9.8000000000000004E-2</v>
      </c>
      <c r="D16" s="13">
        <v>1.4999999999999999E-2</v>
      </c>
      <c r="E16" s="13">
        <v>9.6000000000000002E-2</v>
      </c>
      <c r="Q16" s="7" t="s">
        <v>7</v>
      </c>
      <c r="R16" s="8">
        <v>0</v>
      </c>
    </row>
    <row r="18" spans="1:13" ht="15.3" x14ac:dyDescent="0.5">
      <c r="A18" s="22" t="s">
        <v>11</v>
      </c>
      <c r="B18" s="22" t="s">
        <v>14</v>
      </c>
      <c r="C18" s="22" t="s">
        <v>15</v>
      </c>
    </row>
    <row r="19" spans="1:13" x14ac:dyDescent="0.5">
      <c r="B19" s="15">
        <f>G11*$R$9+H11*$R$10+I11*$R$11+J11*$R$12+K11*$R$13+L11*$R$14+M11*$R$15+N11*$R$16</f>
        <v>5.286710299392066E-2</v>
      </c>
      <c r="K19" s="13">
        <v>0.17067801974622299</v>
      </c>
      <c r="L19" s="13">
        <v>-1.851417466132876E-2</v>
      </c>
      <c r="M19" s="13">
        <v>0.19346821257304836</v>
      </c>
    </row>
    <row r="20" spans="1:13" x14ac:dyDescent="0.5">
      <c r="B20" s="15">
        <f t="shared" ref="B20:B21" si="0">G12*$R$9+H12*$R$10+I12*$R$11+J12*$R$12+K12*$R$13+L12*$R$14+M12*$R$15+N12*$R$16</f>
        <v>0.84022633387589873</v>
      </c>
      <c r="K20" s="13">
        <v>4.9237960210678826E-2</v>
      </c>
      <c r="L20" s="13">
        <v>-0.12747000589826088</v>
      </c>
      <c r="M20" s="13">
        <v>0.1297344272643749</v>
      </c>
    </row>
    <row r="21" spans="1:13" x14ac:dyDescent="0.5">
      <c r="B21" s="15">
        <f t="shared" si="0"/>
        <v>-0.81790866876147439</v>
      </c>
      <c r="K21" s="13">
        <v>-8.6186640601221887E-2</v>
      </c>
      <c r="L21" s="13">
        <v>-6.4881030803918383E-2</v>
      </c>
      <c r="M21" s="13">
        <v>0.2524499884305903</v>
      </c>
    </row>
    <row r="22" spans="1:13" x14ac:dyDescent="0.5">
      <c r="J22" s="22" t="s">
        <v>13</v>
      </c>
      <c r="K22" s="13">
        <v>-6.3016697411718784E-3</v>
      </c>
      <c r="L22" s="13">
        <v>-0.17729737357270606</v>
      </c>
      <c r="M22" s="13">
        <v>0.1268092589911686</v>
      </c>
    </row>
    <row r="23" spans="1:13" x14ac:dyDescent="0.5">
      <c r="A23" s="22" t="s">
        <v>12</v>
      </c>
      <c r="B23" s="13">
        <v>0.192</v>
      </c>
      <c r="C23" s="13">
        <v>7.0000000000000007E-2</v>
      </c>
      <c r="D23" s="13">
        <v>-6.6000000000000003E-2</v>
      </c>
      <c r="E23" s="13">
        <v>1.4E-2</v>
      </c>
      <c r="F23" s="13">
        <v>-1.2E-2</v>
      </c>
      <c r="G23" s="13">
        <v>1.2999999999999999E-2</v>
      </c>
      <c r="H23" s="13">
        <v>1.6E-2</v>
      </c>
      <c r="I23" s="13">
        <v>-2.8000000000000001E-2</v>
      </c>
      <c r="K23" s="13">
        <v>-3.1465834475966216E-2</v>
      </c>
      <c r="L23" s="13">
        <v>-0.10638299665694539</v>
      </c>
      <c r="M23" s="13">
        <v>0.30832415260418961</v>
      </c>
    </row>
    <row r="24" spans="1:13" x14ac:dyDescent="0.5">
      <c r="B24" s="13">
        <v>0.17599999999999999</v>
      </c>
      <c r="C24" s="13">
        <v>6.0999999999999999E-2</v>
      </c>
      <c r="D24" s="13">
        <v>0.11700000000000001</v>
      </c>
      <c r="E24" s="13">
        <v>6.0000000000000001E-3</v>
      </c>
      <c r="F24" s="13">
        <v>6.7000000000000004E-2</v>
      </c>
      <c r="G24" s="13">
        <v>0.111</v>
      </c>
      <c r="H24" s="13">
        <v>0.17499999999999999</v>
      </c>
      <c r="I24" s="13">
        <v>-1.6E-2</v>
      </c>
      <c r="K24" s="13">
        <v>-8.450018908674797E-3</v>
      </c>
      <c r="L24" s="13">
        <v>-8.5685228716535999E-2</v>
      </c>
      <c r="M24" s="13">
        <v>8.6597804296819222E-2</v>
      </c>
    </row>
    <row r="25" spans="1:13" x14ac:dyDescent="0.5">
      <c r="B25" s="13">
        <v>1.2E-2</v>
      </c>
      <c r="C25" s="13">
        <v>-4.5999999999999999E-2</v>
      </c>
      <c r="D25" s="13">
        <v>8.3000000000000004E-2</v>
      </c>
      <c r="E25" s="13">
        <v>-4.3999999999999997E-2</v>
      </c>
      <c r="F25" s="13">
        <v>0.14699999999999999</v>
      </c>
      <c r="G25" s="13">
        <v>-9.7000000000000003E-2</v>
      </c>
      <c r="H25" s="13">
        <v>-0.19800000000000001</v>
      </c>
      <c r="I25" s="13">
        <v>0.14799999999999999</v>
      </c>
      <c r="K25" s="13">
        <v>7.4691044190265357E-2</v>
      </c>
      <c r="L25" s="13">
        <v>0.69460984576261631</v>
      </c>
      <c r="M25" s="13">
        <v>-0.6811646196064236</v>
      </c>
    </row>
    <row r="26" spans="1:13" ht="15.45" thickBot="1" x14ac:dyDescent="0.55000000000000004">
      <c r="K26" s="16">
        <v>3.6797139579867633E-2</v>
      </c>
      <c r="L26" s="13">
        <v>0.58262096454707935</v>
      </c>
      <c r="M26" s="13">
        <v>-0.41121922455376747</v>
      </c>
    </row>
    <row r="27" spans="1:13" ht="15.45" thickBot="1" x14ac:dyDescent="0.55000000000000004">
      <c r="A27" s="22" t="s">
        <v>16</v>
      </c>
      <c r="B27" s="15">
        <f>K19*$B$19+L19*$B$20+M19*$B$21</f>
        <v>-0.16477217284498827</v>
      </c>
      <c r="D27" s="11" t="s">
        <v>17</v>
      </c>
      <c r="E27" s="15">
        <f>EXP(B27)/(EXP($B$27)+EXP($B$28)+EXP($B$29)+EXP($B$30)+EXP($B$31)+EXP($B$32)+EXP($B$33)+EXP($B$34))</f>
        <v>8.3086710792668092E-2</v>
      </c>
      <c r="G27" s="22" t="s">
        <v>20</v>
      </c>
      <c r="H27" s="1" t="s">
        <v>0</v>
      </c>
      <c r="I27" s="2">
        <v>0</v>
      </c>
      <c r="J27" s="25" t="s">
        <v>37</v>
      </c>
      <c r="K27" s="15">
        <f>2*E27-I27</f>
        <v>0.16617342158533618</v>
      </c>
    </row>
    <row r="28" spans="1:13" ht="15.45" thickBot="1" x14ac:dyDescent="0.55000000000000004">
      <c r="A28" s="22" t="s">
        <v>18</v>
      </c>
      <c r="B28" s="15">
        <f t="shared" ref="B28:B34" si="1">K20*$B$19+L20*$B$20+M20*$B$21</f>
        <v>-0.2106115001177036</v>
      </c>
      <c r="D28" s="22" t="s">
        <v>19</v>
      </c>
      <c r="E28" s="15">
        <f t="shared" ref="E28:E34" si="2">EXP(B28)/(EXP($B$27)+EXP($B$28)+EXP($B$29)+EXP($B$30)+EXP($B$31)+EXP($B$32)+EXP($B$33)+EXP($B$34))</f>
        <v>7.9364045920743254E-2</v>
      </c>
      <c r="H28" s="3" t="s">
        <v>1</v>
      </c>
      <c r="I28" s="4">
        <v>0</v>
      </c>
      <c r="J28">
        <f>-I27*LOG(E27,2)-I28*LOG(E28,2)-I29*LOG(E29,2)-I30*LOG(E30,2)-I31*LOG(E31,2)-I32*LOG(E32,2)-I33*LOG(E33,2)-I34*LOG(E34,2)</f>
        <v>3.8572896367824381</v>
      </c>
      <c r="K28" s="15">
        <f t="shared" ref="K28:K34" si="3">2*E28-I28</f>
        <v>0.15872809184148651</v>
      </c>
      <c r="M28"/>
    </row>
    <row r="29" spans="1:13" ht="15.45" thickBot="1" x14ac:dyDescent="0.55000000000000004">
      <c r="A29" s="22" t="s">
        <v>34</v>
      </c>
      <c r="B29" s="15">
        <f t="shared" si="1"/>
        <v>-0.26555222262194417</v>
      </c>
      <c r="E29" s="15">
        <f t="shared" si="2"/>
        <v>7.5121343618630668E-2</v>
      </c>
      <c r="H29" s="3" t="s">
        <v>2</v>
      </c>
      <c r="I29" s="4">
        <v>0</v>
      </c>
      <c r="K29" s="15">
        <f t="shared" si="3"/>
        <v>0.15024268723726134</v>
      </c>
    </row>
    <row r="30" spans="1:13" ht="15.6" thickBot="1" x14ac:dyDescent="0.55000000000000004">
      <c r="B30" s="15">
        <f t="shared" si="1"/>
        <v>-0.25302146543415643</v>
      </c>
      <c r="E30" s="15">
        <f t="shared" si="2"/>
        <v>7.6068593419037239E-2</v>
      </c>
      <c r="H30" s="3" t="s">
        <v>3</v>
      </c>
      <c r="I30" s="4">
        <v>0</v>
      </c>
      <c r="K30" s="15">
        <f t="shared" si="3"/>
        <v>0.15213718683807448</v>
      </c>
    </row>
    <row r="31" spans="1:13" ht="15.6" thickBot="1" x14ac:dyDescent="0.55000000000000004">
      <c r="B31" s="15">
        <f t="shared" si="1"/>
        <v>-0.34323029998333021</v>
      </c>
      <c r="E31" s="15">
        <f t="shared" si="2"/>
        <v>6.9506942778546896E-2</v>
      </c>
      <c r="H31" s="3" t="s">
        <v>4</v>
      </c>
      <c r="I31" s="4">
        <v>0</v>
      </c>
      <c r="K31" s="15">
        <f t="shared" si="3"/>
        <v>0.13901388555709379</v>
      </c>
    </row>
    <row r="32" spans="1:13" ht="15.6" thickBot="1" x14ac:dyDescent="0.55000000000000004">
      <c r="B32" s="15">
        <f t="shared" si="1"/>
        <v>-0.14327080844183651</v>
      </c>
      <c r="E32" s="15">
        <f t="shared" si="2"/>
        <v>8.4892532685707983E-2</v>
      </c>
      <c r="H32" s="3" t="s">
        <v>5</v>
      </c>
      <c r="I32" s="4">
        <v>0</v>
      </c>
      <c r="K32" s="15">
        <f t="shared" si="3"/>
        <v>0.16978506537141597</v>
      </c>
    </row>
    <row r="33" spans="1:18" ht="15.6" thickBot="1" x14ac:dyDescent="0.55000000000000004">
      <c r="B33" s="15">
        <f t="shared" si="1"/>
        <v>1.1447086305348628</v>
      </c>
      <c r="E33" s="15">
        <f t="shared" si="2"/>
        <v>0.30777394669116376</v>
      </c>
      <c r="H33" s="3" t="s">
        <v>6</v>
      </c>
      <c r="I33" s="4">
        <v>1</v>
      </c>
      <c r="K33" s="15">
        <f t="shared" si="3"/>
        <v>-0.38445210661767248</v>
      </c>
    </row>
    <row r="34" spans="1:18" ht="15.6" thickBot="1" x14ac:dyDescent="0.55000000000000004">
      <c r="B34" s="15">
        <f t="shared" si="1"/>
        <v>0.82781860377258076</v>
      </c>
      <c r="E34" s="15">
        <f t="shared" si="2"/>
        <v>0.22418588409350218</v>
      </c>
      <c r="H34" s="3" t="s">
        <v>7</v>
      </c>
      <c r="I34" s="4">
        <v>1</v>
      </c>
      <c r="K34" s="15">
        <f t="shared" si="3"/>
        <v>-0.5516282318129957</v>
      </c>
    </row>
    <row r="35" spans="1:18" ht="15.3" x14ac:dyDescent="0.5">
      <c r="A35"/>
    </row>
    <row r="36" spans="1:18" ht="15.3" x14ac:dyDescent="0.5">
      <c r="C36" s="15">
        <f>K27</f>
        <v>0.16617342158533618</v>
      </c>
      <c r="H36" s="17">
        <f>$C$36*D39</f>
        <v>8.7851073938041667E-3</v>
      </c>
      <c r="I36" s="17">
        <f t="shared" ref="I36:J36" si="4">$C$36*E39</f>
        <v>0.13962328480626116</v>
      </c>
      <c r="J36" s="17">
        <f t="shared" si="4"/>
        <v>-0.13591468203240156</v>
      </c>
    </row>
    <row r="37" spans="1:18" ht="15.3" x14ac:dyDescent="0.5">
      <c r="C37" s="15">
        <f t="shared" ref="C37:C43" si="5">K28</f>
        <v>0.15872809184148651</v>
      </c>
      <c r="H37" s="17">
        <f>$C$37*D39</f>
        <v>8.3914943794123655E-3</v>
      </c>
      <c r="I37" s="17">
        <f t="shared" ref="I37:J37" si="6">$C$37*E39</f>
        <v>0.13336752269108915</v>
      </c>
      <c r="J37" s="17">
        <f t="shared" si="6"/>
        <v>-0.12982508229311926</v>
      </c>
    </row>
    <row r="38" spans="1:18" x14ac:dyDescent="0.5">
      <c r="C38" s="15">
        <f t="shared" si="5"/>
        <v>0.15024268723726134</v>
      </c>
      <c r="H38" s="17">
        <f>$C$38*D39</f>
        <v>7.9428956202557046E-3</v>
      </c>
      <c r="I38" s="17">
        <f t="shared" ref="I38:J38" si="7">$C$38*E39</f>
        <v>0.12623786228902736</v>
      </c>
      <c r="J38" s="17">
        <f t="shared" si="7"/>
        <v>-0.12288479630937497</v>
      </c>
    </row>
    <row r="39" spans="1:18" x14ac:dyDescent="0.5">
      <c r="C39" s="15">
        <f t="shared" si="5"/>
        <v>0.15213718683807448</v>
      </c>
      <c r="D39" s="21">
        <f>B19</f>
        <v>5.286710299392066E-2</v>
      </c>
      <c r="E39" s="21">
        <f>B20</f>
        <v>0.84022633387589873</v>
      </c>
      <c r="F39" s="21">
        <f>B21</f>
        <v>-0.81790866876147439</v>
      </c>
      <c r="G39" s="10" t="s">
        <v>23</v>
      </c>
      <c r="H39" s="17">
        <f>$C$39*D39</f>
        <v>8.0430523257738334E-3</v>
      </c>
      <c r="I39" s="17">
        <f t="shared" ref="I39:J39" si="8">$C$39*E39</f>
        <v>0.12782967074314797</v>
      </c>
      <c r="J39" s="17">
        <f t="shared" si="8"/>
        <v>-0.12443432395584519</v>
      </c>
      <c r="R39"/>
    </row>
    <row r="40" spans="1:18" x14ac:dyDescent="0.5">
      <c r="C40" s="15">
        <f t="shared" si="5"/>
        <v>0.13901388555709379</v>
      </c>
      <c r="H40" s="17">
        <f>$C$40*D39</f>
        <v>7.3492614053319773E-3</v>
      </c>
      <c r="I40" s="17">
        <f t="shared" ref="I40:J40" si="9">$C$40*E39</f>
        <v>0.11680312741948067</v>
      </c>
      <c r="J40" s="17">
        <f t="shared" si="9"/>
        <v>-0.11370066207536253</v>
      </c>
    </row>
    <row r="41" spans="1:18" ht="15.3" x14ac:dyDescent="0.5">
      <c r="C41" s="15">
        <f t="shared" si="5"/>
        <v>0.16978506537141597</v>
      </c>
      <c r="H41" s="17">
        <f>$C$41*D39</f>
        <v>8.9760445378202006E-3</v>
      </c>
      <c r="I41" s="17">
        <f t="shared" ref="I41:J41" si="10">$C$41*E39</f>
        <v>0.14265788302390464</v>
      </c>
      <c r="J41" s="17">
        <f t="shared" si="10"/>
        <v>-0.13886867679351475</v>
      </c>
    </row>
    <row r="42" spans="1:18" ht="15.3" x14ac:dyDescent="0.5">
      <c r="C42" s="15">
        <f t="shared" si="5"/>
        <v>-0.38445210661767248</v>
      </c>
      <c r="H42" s="17">
        <f>$C$42*D39</f>
        <v>-2.0324869116786257E-2</v>
      </c>
      <c r="I42" s="17">
        <f t="shared" ref="I42:J42" si="11">$C$42*E39</f>
        <v>-0.32302678409423308</v>
      </c>
      <c r="J42" s="17">
        <f t="shared" si="11"/>
        <v>0.31444671072620489</v>
      </c>
    </row>
    <row r="43" spans="1:18" x14ac:dyDescent="0.5">
      <c r="C43" s="15">
        <f t="shared" si="5"/>
        <v>-0.5516282318129957</v>
      </c>
      <c r="H43" s="17">
        <f>$C$43*D39</f>
        <v>-2.9162986545611985E-2</v>
      </c>
      <c r="I43" s="17">
        <f t="shared" ref="I43:J43" si="12">$C$43*E39</f>
        <v>-0.46349256687867779</v>
      </c>
      <c r="J43" s="17">
        <f t="shared" si="12"/>
        <v>0.45118151273341328</v>
      </c>
    </row>
    <row r="44" spans="1:18" ht="26.9" x14ac:dyDescent="0.5">
      <c r="A44" s="23" t="s">
        <v>21</v>
      </c>
      <c r="B44" s="22" t="s">
        <v>22</v>
      </c>
    </row>
    <row r="45" spans="1:18" x14ac:dyDescent="0.5">
      <c r="A45" s="18"/>
      <c r="B45" s="15">
        <f>K19</f>
        <v>0.17067801974622299</v>
      </c>
      <c r="C45" s="15">
        <f>K20</f>
        <v>4.9237960210678826E-2</v>
      </c>
      <c r="D45" s="15">
        <f>K21</f>
        <v>-8.6186640601221887E-2</v>
      </c>
      <c r="E45" s="15">
        <f>K22</f>
        <v>-6.3016697411718784E-3</v>
      </c>
      <c r="F45" s="15">
        <f>K23</f>
        <v>-3.1465834475966216E-2</v>
      </c>
      <c r="G45" s="15">
        <f>K24</f>
        <v>-8.450018908674797E-3</v>
      </c>
      <c r="H45" s="15">
        <f>K25</f>
        <v>7.4691044190265357E-2</v>
      </c>
      <c r="I45" s="15">
        <f>K26</f>
        <v>3.6797139579867633E-2</v>
      </c>
      <c r="J45" s="15">
        <f>K27</f>
        <v>0.16617342158533618</v>
      </c>
    </row>
    <row r="46" spans="1:18" x14ac:dyDescent="0.5">
      <c r="B46" s="15">
        <f>L19</f>
        <v>-1.851417466132876E-2</v>
      </c>
      <c r="C46" s="15">
        <f>L20</f>
        <v>-0.12747000589826088</v>
      </c>
      <c r="D46" s="15">
        <f>L21</f>
        <v>-6.4881030803918383E-2</v>
      </c>
      <c r="E46" s="15">
        <f>L22</f>
        <v>-0.17729737357270606</v>
      </c>
      <c r="F46" s="15">
        <f>L23</f>
        <v>-0.10638299665694539</v>
      </c>
      <c r="G46" s="15">
        <f>L24</f>
        <v>-8.5685228716535999E-2</v>
      </c>
      <c r="H46" s="15">
        <f>L25</f>
        <v>0.69460984576261631</v>
      </c>
      <c r="I46" s="15">
        <f>L26</f>
        <v>0.58262096454707935</v>
      </c>
      <c r="J46" s="15">
        <f t="shared" ref="J46:J52" si="13">K28</f>
        <v>0.15872809184148651</v>
      </c>
      <c r="L46" s="15">
        <f>B45*$J$45+C45*$J$46+D45*$J$47+E45*$J$48+F45*$J$49+G45*$J$50+H45*$J$51+I45*$J$52</f>
        <v>-3.2552378045875643E-2</v>
      </c>
    </row>
    <row r="47" spans="1:18" x14ac:dyDescent="0.5">
      <c r="B47" s="15">
        <f>M19</f>
        <v>0.19346821257304836</v>
      </c>
      <c r="C47" s="15">
        <f>M20</f>
        <v>0.1297344272643749</v>
      </c>
      <c r="D47" s="15">
        <f>M21</f>
        <v>0.2524499884305903</v>
      </c>
      <c r="E47" s="15">
        <f>M22</f>
        <v>0.1268092589911686</v>
      </c>
      <c r="F47" s="15">
        <f>M23</f>
        <v>0.30832415260418961</v>
      </c>
      <c r="G47" s="15">
        <f>M24</f>
        <v>8.6597804296819222E-2</v>
      </c>
      <c r="H47" s="15">
        <f>M25</f>
        <v>-0.6811646196064236</v>
      </c>
      <c r="I47" s="15">
        <f>M26</f>
        <v>-0.41121922455376747</v>
      </c>
      <c r="J47" s="15">
        <f t="shared" si="13"/>
        <v>0.15024268723726134</v>
      </c>
      <c r="K47" s="10" t="s">
        <v>23</v>
      </c>
      <c r="L47" s="15">
        <f t="shared" ref="L47:L48" si="14">B46*$J$45+C46*$J$46+D46*$J$47+E46*$J$48+F46*$J$49+G46*$J$50+H46*$J$51+I46*$J$52</f>
        <v>-0.67780223547498331</v>
      </c>
    </row>
    <row r="48" spans="1:18" x14ac:dyDescent="0.5">
      <c r="J48" s="15">
        <f t="shared" si="13"/>
        <v>0.15213718683807448</v>
      </c>
      <c r="L48" s="15">
        <f t="shared" si="14"/>
        <v>0.65624260053723393</v>
      </c>
    </row>
    <row r="49" spans="1:19" x14ac:dyDescent="0.5">
      <c r="A49" s="22" t="s">
        <v>24</v>
      </c>
      <c r="B49" s="22"/>
      <c r="J49" s="15">
        <f t="shared" si="13"/>
        <v>0.13901388555709379</v>
      </c>
    </row>
    <row r="50" spans="1:19" x14ac:dyDescent="0.5">
      <c r="J50" s="15">
        <f t="shared" si="13"/>
        <v>0.16978506537141597</v>
      </c>
    </row>
    <row r="51" spans="1:19" x14ac:dyDescent="0.5">
      <c r="J51" s="15">
        <f t="shared" si="13"/>
        <v>-0.38445210661767248</v>
      </c>
    </row>
    <row r="52" spans="1:19" x14ac:dyDescent="0.5">
      <c r="J52" s="15">
        <f t="shared" si="13"/>
        <v>-0.5516282318129957</v>
      </c>
    </row>
    <row r="54" spans="1:19" x14ac:dyDescent="0.5">
      <c r="B54" s="15">
        <f>L46</f>
        <v>-3.2552378045875643E-2</v>
      </c>
      <c r="L54" s="15">
        <f>$B$54*C55</f>
        <v>0</v>
      </c>
      <c r="M54" s="15">
        <f>$B$54*D55</f>
        <v>-3.2552378045875643E-2</v>
      </c>
      <c r="N54" s="15">
        <f t="shared" ref="N54:S54" si="15">$B$54*E55</f>
        <v>0</v>
      </c>
      <c r="O54" s="15">
        <f t="shared" si="15"/>
        <v>0</v>
      </c>
      <c r="P54" s="15">
        <f t="shared" si="15"/>
        <v>0</v>
      </c>
      <c r="Q54" s="15">
        <f t="shared" si="15"/>
        <v>0</v>
      </c>
      <c r="R54" s="15">
        <f t="shared" si="15"/>
        <v>0</v>
      </c>
      <c r="S54" s="15">
        <f t="shared" si="15"/>
        <v>0</v>
      </c>
    </row>
    <row r="55" spans="1:19" x14ac:dyDescent="0.5">
      <c r="B55" s="15">
        <f>L47</f>
        <v>-0.67780223547498331</v>
      </c>
      <c r="C55" s="12">
        <f>R9</f>
        <v>0</v>
      </c>
      <c r="D55" s="12">
        <f>R10</f>
        <v>1</v>
      </c>
      <c r="E55" s="12">
        <f>R11</f>
        <v>0</v>
      </c>
      <c r="F55" s="12">
        <f>R12</f>
        <v>0</v>
      </c>
      <c r="G55" s="12">
        <f>R13</f>
        <v>0</v>
      </c>
      <c r="H55" s="12">
        <f>R14</f>
        <v>0</v>
      </c>
      <c r="I55" s="12">
        <f>R15</f>
        <v>0</v>
      </c>
      <c r="J55" s="12">
        <f>R16</f>
        <v>0</v>
      </c>
      <c r="K55" s="10" t="s">
        <v>25</v>
      </c>
      <c r="L55" s="15">
        <f>$B$55*C55</f>
        <v>0</v>
      </c>
      <c r="M55" s="15">
        <f>$B$55*D55</f>
        <v>-0.67780223547498331</v>
      </c>
      <c r="N55" s="15">
        <f t="shared" ref="N55:S55" si="16">$B$55*E55</f>
        <v>0</v>
      </c>
      <c r="O55" s="15">
        <f t="shared" si="16"/>
        <v>0</v>
      </c>
      <c r="P55" s="15">
        <f t="shared" si="16"/>
        <v>0</v>
      </c>
      <c r="Q55" s="15">
        <f t="shared" si="16"/>
        <v>0</v>
      </c>
      <c r="R55" s="15">
        <f t="shared" si="16"/>
        <v>0</v>
      </c>
      <c r="S55" s="15">
        <f t="shared" si="16"/>
        <v>0</v>
      </c>
    </row>
    <row r="56" spans="1:19" x14ac:dyDescent="0.5">
      <c r="B56" s="15">
        <f>L48</f>
        <v>0.65624260053723393</v>
      </c>
      <c r="L56" s="15">
        <f>$B$56*C55</f>
        <v>0</v>
      </c>
      <c r="M56" s="15">
        <f>$B$56*D55</f>
        <v>0.65624260053723393</v>
      </c>
      <c r="N56" s="15">
        <f t="shared" ref="N56:S56" si="17">$B$56*E55</f>
        <v>0</v>
      </c>
      <c r="O56" s="15">
        <f t="shared" si="17"/>
        <v>0</v>
      </c>
      <c r="P56" s="15">
        <f t="shared" si="17"/>
        <v>0</v>
      </c>
      <c r="Q56" s="15">
        <f t="shared" si="17"/>
        <v>0</v>
      </c>
      <c r="R56" s="15">
        <f t="shared" si="17"/>
        <v>0</v>
      </c>
      <c r="S56" s="15">
        <f t="shared" si="17"/>
        <v>0</v>
      </c>
    </row>
    <row r="58" spans="1:19" x14ac:dyDescent="0.5">
      <c r="A58" s="22" t="s">
        <v>30</v>
      </c>
    </row>
    <row r="59" spans="1:19" x14ac:dyDescent="0.5">
      <c r="C59" s="15">
        <f>G11-0.2*L54</f>
        <v>-7.8E-2</v>
      </c>
      <c r="D59" s="15">
        <f t="shared" ref="D59:J61" si="18">H11-0.2*M54</f>
        <v>5.9377578603095789E-2</v>
      </c>
      <c r="E59" s="15">
        <f t="shared" si="18"/>
        <v>-0.158</v>
      </c>
      <c r="F59" s="15">
        <f t="shared" si="18"/>
        <v>0.15</v>
      </c>
      <c r="G59" s="15">
        <f t="shared" si="18"/>
        <v>-9.7000000000000003E-2</v>
      </c>
      <c r="H59" s="15">
        <f t="shared" si="18"/>
        <v>3.5999999999999997E-2</v>
      </c>
      <c r="I59" s="15">
        <f t="shared" si="18"/>
        <v>0.16800000000000001</v>
      </c>
      <c r="J59" s="15">
        <f t="shared" si="18"/>
        <v>9.8000000000000004E-2</v>
      </c>
    </row>
    <row r="60" spans="1:19" x14ac:dyDescent="0.5">
      <c r="C60" s="15">
        <f t="shared" ref="C60:C61" si="19">G12-0.2*L55</f>
        <v>1.7999999999999999E-2</v>
      </c>
      <c r="D60" s="15">
        <f t="shared" si="18"/>
        <v>0.97578678097089544</v>
      </c>
      <c r="E60" s="15">
        <f t="shared" si="18"/>
        <v>-8.1000000000000003E-2</v>
      </c>
      <c r="F60" s="15">
        <f t="shared" si="18"/>
        <v>6.4000000000000001E-2</v>
      </c>
      <c r="G60" s="15">
        <f t="shared" si="18"/>
        <v>-5.5E-2</v>
      </c>
      <c r="H60" s="15">
        <f t="shared" si="18"/>
        <v>7.0999999999999994E-2</v>
      </c>
      <c r="I60" s="15">
        <f t="shared" si="18"/>
        <v>-0.06</v>
      </c>
      <c r="J60" s="15">
        <f t="shared" si="18"/>
        <v>1.4999999999999999E-2</v>
      </c>
    </row>
    <row r="61" spans="1:19" x14ac:dyDescent="0.5">
      <c r="C61" s="15">
        <f t="shared" si="19"/>
        <v>3.3000000000000002E-2</v>
      </c>
      <c r="D61" s="15">
        <f t="shared" si="18"/>
        <v>-0.9491571888689212</v>
      </c>
      <c r="E61" s="15">
        <f t="shared" si="18"/>
        <v>-0.151</v>
      </c>
      <c r="F61" s="15">
        <f t="shared" si="18"/>
        <v>0.14499999999999999</v>
      </c>
      <c r="G61" s="15">
        <f t="shared" si="18"/>
        <v>0.188</v>
      </c>
      <c r="H61" s="15">
        <f t="shared" si="18"/>
        <v>5.8999999999999997E-2</v>
      </c>
      <c r="I61" s="15">
        <f t="shared" si="18"/>
        <v>-5.8000000000000003E-2</v>
      </c>
      <c r="J61" s="15">
        <f t="shared" si="18"/>
        <v>9.6000000000000002E-2</v>
      </c>
    </row>
    <row r="62" spans="1:19" x14ac:dyDescent="0.5">
      <c r="A62" s="22" t="s">
        <v>31</v>
      </c>
    </row>
    <row r="63" spans="1:19" x14ac:dyDescent="0.5">
      <c r="C63" s="15">
        <f>K19-0.2*H36</f>
        <v>0.16892099826746215</v>
      </c>
      <c r="D63" s="15">
        <f t="shared" ref="D63:E70" si="20">L19-0.2*I36</f>
        <v>-4.6438831622580994E-2</v>
      </c>
      <c r="E63" s="15">
        <f t="shared" si="20"/>
        <v>0.22065114897952867</v>
      </c>
    </row>
    <row r="64" spans="1:19" x14ac:dyDescent="0.5">
      <c r="C64" s="15">
        <f t="shared" ref="C64:C70" si="21">K20-0.2*H37</f>
        <v>4.7559661334796353E-2</v>
      </c>
      <c r="D64" s="15">
        <f t="shared" si="20"/>
        <v>-0.15414351043647873</v>
      </c>
      <c r="E64" s="15">
        <f t="shared" si="20"/>
        <v>0.15569944372299876</v>
      </c>
    </row>
    <row r="65" spans="1:14" x14ac:dyDescent="0.5">
      <c r="C65" s="15">
        <f t="shared" si="21"/>
        <v>-8.7775219725273024E-2</v>
      </c>
      <c r="D65" s="15">
        <f t="shared" si="20"/>
        <v>-9.0128603261723853E-2</v>
      </c>
      <c r="E65" s="15">
        <f t="shared" si="20"/>
        <v>0.27702694769246528</v>
      </c>
    </row>
    <row r="66" spans="1:14" x14ac:dyDescent="0.5">
      <c r="C66" s="15">
        <f t="shared" si="21"/>
        <v>-7.9102802063266454E-3</v>
      </c>
      <c r="D66" s="15">
        <f t="shared" si="20"/>
        <v>-0.20286330772133565</v>
      </c>
      <c r="E66" s="15">
        <f t="shared" si="20"/>
        <v>0.15169612378233766</v>
      </c>
    </row>
    <row r="67" spans="1:14" x14ac:dyDescent="0.5">
      <c r="C67" s="15">
        <f t="shared" si="21"/>
        <v>-3.2935686757032609E-2</v>
      </c>
      <c r="D67" s="15">
        <f t="shared" si="20"/>
        <v>-0.12974362214084154</v>
      </c>
      <c r="E67" s="15">
        <f t="shared" si="20"/>
        <v>0.33106428501926211</v>
      </c>
    </row>
    <row r="68" spans="1:14" x14ac:dyDescent="0.5">
      <c r="C68" s="15">
        <f t="shared" si="21"/>
        <v>-1.0245227816238838E-2</v>
      </c>
      <c r="D68" s="15">
        <f t="shared" si="20"/>
        <v>-0.11421680532131692</v>
      </c>
      <c r="E68" s="15">
        <f t="shared" si="20"/>
        <v>0.11437153965552217</v>
      </c>
    </row>
    <row r="69" spans="1:14" x14ac:dyDescent="0.5">
      <c r="C69" s="15">
        <f t="shared" si="21"/>
        <v>7.8756018013622614E-2</v>
      </c>
      <c r="D69" s="15">
        <f t="shared" si="20"/>
        <v>0.75921520258146291</v>
      </c>
      <c r="E69" s="15">
        <f t="shared" si="20"/>
        <v>-0.74405396175166461</v>
      </c>
    </row>
    <row r="70" spans="1:14" ht="15.45" thickBot="1" x14ac:dyDescent="0.55000000000000004">
      <c r="C70" s="15">
        <f t="shared" si="21"/>
        <v>4.2629736888990029E-2</v>
      </c>
      <c r="D70" s="15">
        <f t="shared" si="20"/>
        <v>0.67531947792281488</v>
      </c>
      <c r="E70" s="15">
        <f t="shared" si="20"/>
        <v>-0.50145552710045016</v>
      </c>
    </row>
    <row r="71" spans="1:14" ht="16" thickBot="1" x14ac:dyDescent="0.55000000000000004">
      <c r="A71" s="24" t="s">
        <v>26</v>
      </c>
      <c r="K71" s="5" t="s">
        <v>0</v>
      </c>
      <c r="L71" s="6">
        <v>0</v>
      </c>
    </row>
    <row r="72" spans="1:14" ht="15.45" thickBot="1" x14ac:dyDescent="0.55000000000000004">
      <c r="C72" s="15">
        <f>C59</f>
        <v>-7.8E-2</v>
      </c>
      <c r="D72" s="15">
        <f t="shared" ref="D72:J72" si="22">D59</f>
        <v>5.9377578603095789E-2</v>
      </c>
      <c r="E72" s="15">
        <f t="shared" si="22"/>
        <v>-0.158</v>
      </c>
      <c r="F72" s="15">
        <f t="shared" si="22"/>
        <v>0.15</v>
      </c>
      <c r="G72" s="15">
        <f t="shared" si="22"/>
        <v>-9.7000000000000003E-2</v>
      </c>
      <c r="H72" s="15">
        <f t="shared" si="22"/>
        <v>3.5999999999999997E-2</v>
      </c>
      <c r="I72" s="15">
        <f t="shared" si="22"/>
        <v>0.16800000000000001</v>
      </c>
      <c r="J72" s="15">
        <f t="shared" si="22"/>
        <v>9.8000000000000004E-2</v>
      </c>
      <c r="K72" s="7" t="s">
        <v>1</v>
      </c>
      <c r="L72" s="8">
        <v>1</v>
      </c>
      <c r="N72" s="15">
        <f>D72</f>
        <v>5.9377578603095789E-2</v>
      </c>
    </row>
    <row r="73" spans="1:14" ht="15.45" thickBot="1" x14ac:dyDescent="0.55000000000000004">
      <c r="C73" s="15">
        <f t="shared" ref="C73:J74" si="23">C60</f>
        <v>1.7999999999999999E-2</v>
      </c>
      <c r="D73" s="15">
        <f t="shared" si="23"/>
        <v>0.97578678097089544</v>
      </c>
      <c r="E73" s="15">
        <f t="shared" si="23"/>
        <v>-8.1000000000000003E-2</v>
      </c>
      <c r="F73" s="15">
        <f t="shared" si="23"/>
        <v>6.4000000000000001E-2</v>
      </c>
      <c r="G73" s="15">
        <f t="shared" si="23"/>
        <v>-5.5E-2</v>
      </c>
      <c r="H73" s="15">
        <f t="shared" si="23"/>
        <v>7.0999999999999994E-2</v>
      </c>
      <c r="I73" s="15">
        <f t="shared" si="23"/>
        <v>-0.06</v>
      </c>
      <c r="J73" s="15">
        <f t="shared" si="23"/>
        <v>1.4999999999999999E-2</v>
      </c>
      <c r="K73" s="7" t="s">
        <v>2</v>
      </c>
      <c r="L73" s="8">
        <v>0</v>
      </c>
      <c r="M73" s="10" t="s">
        <v>27</v>
      </c>
      <c r="N73" s="15">
        <f>D73</f>
        <v>0.97578678097089544</v>
      </c>
    </row>
    <row r="74" spans="1:14" ht="15.45" thickBot="1" x14ac:dyDescent="0.55000000000000004">
      <c r="C74" s="15">
        <f t="shared" si="23"/>
        <v>3.3000000000000002E-2</v>
      </c>
      <c r="D74" s="15">
        <f t="shared" si="23"/>
        <v>-0.9491571888689212</v>
      </c>
      <c r="E74" s="15">
        <f t="shared" si="23"/>
        <v>-0.151</v>
      </c>
      <c r="F74" s="15">
        <f t="shared" si="23"/>
        <v>0.14499999999999999</v>
      </c>
      <c r="G74" s="15">
        <f t="shared" si="23"/>
        <v>0.188</v>
      </c>
      <c r="H74" s="15">
        <f t="shared" si="23"/>
        <v>5.8999999999999997E-2</v>
      </c>
      <c r="I74" s="15">
        <f t="shared" si="23"/>
        <v>-5.8000000000000003E-2</v>
      </c>
      <c r="J74" s="15">
        <f t="shared" si="23"/>
        <v>9.6000000000000002E-2</v>
      </c>
      <c r="K74" s="7" t="s">
        <v>3</v>
      </c>
      <c r="L74" s="8">
        <v>0</v>
      </c>
      <c r="N74" s="15">
        <f>D74</f>
        <v>-0.9491571888689212</v>
      </c>
    </row>
    <row r="75" spans="1:14" ht="15.45" thickBot="1" x14ac:dyDescent="0.55000000000000004">
      <c r="K75" s="7" t="s">
        <v>4</v>
      </c>
      <c r="L75" s="8">
        <v>0</v>
      </c>
    </row>
    <row r="76" spans="1:14" ht="27.15" thickBot="1" x14ac:dyDescent="0.55000000000000004">
      <c r="A76" s="23" t="s">
        <v>28</v>
      </c>
      <c r="C76" s="15">
        <f>C63</f>
        <v>0.16892099826746215</v>
      </c>
      <c r="D76" s="15">
        <f t="shared" ref="D76:E76" si="24">D63</f>
        <v>-4.6438831622580994E-2</v>
      </c>
      <c r="E76" s="15">
        <f t="shared" si="24"/>
        <v>0.22065114897952867</v>
      </c>
      <c r="H76" s="15">
        <f>C76*$G$77+D76*$G$78+E76*$G$79</f>
        <v>-0.24471690245481503</v>
      </c>
      <c r="J76" s="17">
        <f>EXP(H76)/(EXP($H$76)+EXP($H$77)+EXP($H$78)+EXP($H$79)+EXP($H$80)+EXP($H$81)+EXP($H$82)+EXP($H$83))</f>
        <v>6.6511706920058172E-2</v>
      </c>
      <c r="K76" s="8" t="s">
        <v>5</v>
      </c>
      <c r="L76" s="8">
        <v>0</v>
      </c>
    </row>
    <row r="77" spans="1:14" ht="15.45" thickBot="1" x14ac:dyDescent="0.55000000000000004">
      <c r="C77" s="15">
        <f t="shared" ref="C77:E83" si="25">C64</f>
        <v>4.7559661334796353E-2</v>
      </c>
      <c r="D77" s="15">
        <f t="shared" si="25"/>
        <v>-0.15414351043647873</v>
      </c>
      <c r="E77" s="15">
        <f t="shared" si="25"/>
        <v>0.15569944372299876</v>
      </c>
      <c r="G77" s="14">
        <f>N72</f>
        <v>5.9377578603095789E-2</v>
      </c>
      <c r="H77" s="15">
        <f t="shared" ref="H77:H83" si="26">C77*$G$77+D77*$G$78+E77*$G$79</f>
        <v>-0.29537046863969801</v>
      </c>
      <c r="J77" s="17">
        <f t="shared" ref="J77:J83" si="27">EXP(H77)/(EXP($H$76)+EXP($H$77)+EXP($H$78)+EXP($H$79)+EXP($H$80)+EXP($H$81)+EXP($H$82)+EXP($H$83))</f>
        <v>6.3226556450329721E-2</v>
      </c>
      <c r="K77" s="8" t="s">
        <v>6</v>
      </c>
      <c r="L77" s="8">
        <v>0</v>
      </c>
    </row>
    <row r="78" spans="1:14" ht="15.45" thickBot="1" x14ac:dyDescent="0.55000000000000004">
      <c r="C78" s="15">
        <f t="shared" si="25"/>
        <v>-8.7775219725273024E-2</v>
      </c>
      <c r="D78" s="15">
        <f t="shared" si="25"/>
        <v>-9.0128603261723853E-2</v>
      </c>
      <c r="E78" s="15">
        <f t="shared" si="25"/>
        <v>0.27702694769246528</v>
      </c>
      <c r="G78" s="14">
        <f>N73</f>
        <v>0.97578678097089544</v>
      </c>
      <c r="H78" s="15">
        <f t="shared" si="26"/>
        <v>-0.35610029857151987</v>
      </c>
      <c r="J78" s="17">
        <f t="shared" si="27"/>
        <v>5.9501086920837928E-2</v>
      </c>
      <c r="K78" s="8" t="s">
        <v>7</v>
      </c>
      <c r="L78" s="8">
        <v>0</v>
      </c>
    </row>
    <row r="79" spans="1:14" x14ac:dyDescent="0.5">
      <c r="C79" s="15">
        <f t="shared" si="25"/>
        <v>-7.9102802063266454E-3</v>
      </c>
      <c r="D79" s="15">
        <f t="shared" si="25"/>
        <v>-0.20286330772133565</v>
      </c>
      <c r="E79" s="15">
        <f t="shared" si="25"/>
        <v>0.15169612378233766</v>
      </c>
      <c r="G79" s="14">
        <f>N74</f>
        <v>-0.9491571888689212</v>
      </c>
      <c r="H79" s="15">
        <f t="shared" si="26"/>
        <v>-0.34240449371478954</v>
      </c>
      <c r="I79" s="22" t="s">
        <v>29</v>
      </c>
      <c r="J79" s="17">
        <f t="shared" si="27"/>
        <v>6.032160822012872E-2</v>
      </c>
    </row>
    <row r="80" spans="1:14" x14ac:dyDescent="0.5">
      <c r="C80" s="15">
        <f t="shared" si="25"/>
        <v>-3.2935686757032609E-2</v>
      </c>
      <c r="D80" s="15">
        <f t="shared" si="25"/>
        <v>-0.12974362214084154</v>
      </c>
      <c r="E80" s="15">
        <f t="shared" si="25"/>
        <v>0.33106428501926211</v>
      </c>
      <c r="H80" s="15">
        <f t="shared" si="26"/>
        <v>-0.44278979883336078</v>
      </c>
      <c r="J80" s="17">
        <f t="shared" si="27"/>
        <v>5.456022185040222E-2</v>
      </c>
    </row>
    <row r="81" spans="3:13" x14ac:dyDescent="0.5">
      <c r="C81" s="15">
        <f t="shared" si="25"/>
        <v>-1.0245227816238838E-2</v>
      </c>
      <c r="D81" s="15">
        <f t="shared" si="25"/>
        <v>-0.11421680532131692</v>
      </c>
      <c r="E81" s="15">
        <f t="shared" si="25"/>
        <v>0.11437153965552217</v>
      </c>
      <c r="H81" s="15">
        <f t="shared" si="26"/>
        <v>-0.22061615468327839</v>
      </c>
      <c r="J81" s="17">
        <f t="shared" si="27"/>
        <v>6.8134161443752103E-2</v>
      </c>
    </row>
    <row r="82" spans="3:13" x14ac:dyDescent="0.5">
      <c r="C82" s="15">
        <f t="shared" si="25"/>
        <v>7.8756018013622614E-2</v>
      </c>
      <c r="D82" s="15">
        <f t="shared" si="25"/>
        <v>0.75921520258146291</v>
      </c>
      <c r="E82" s="15">
        <f t="shared" si="25"/>
        <v>-0.74405396175166461</v>
      </c>
      <c r="H82" s="15">
        <f t="shared" si="26"/>
        <v>1.4517326669441966</v>
      </c>
      <c r="J82" s="17">
        <f t="shared" si="27"/>
        <v>0.36279123022742532</v>
      </c>
    </row>
    <row r="83" spans="3:13" x14ac:dyDescent="0.5">
      <c r="C83" s="15">
        <f t="shared" si="25"/>
        <v>4.2629736888990029E-2</v>
      </c>
      <c r="D83" s="15">
        <f t="shared" si="25"/>
        <v>0.67531947792281488</v>
      </c>
      <c r="E83" s="15">
        <f t="shared" si="25"/>
        <v>-0.50145552710045016</v>
      </c>
      <c r="H83" s="15">
        <f t="shared" si="26"/>
        <v>1.137459188487651</v>
      </c>
      <c r="J83" s="17">
        <f t="shared" si="27"/>
        <v>0.26495342796706561</v>
      </c>
    </row>
    <row r="84" spans="3:13" ht="15.45" thickBot="1" x14ac:dyDescent="0.55000000000000004"/>
    <row r="85" spans="3:13" ht="15.45" thickBot="1" x14ac:dyDescent="0.55000000000000004">
      <c r="G85" s="22" t="s">
        <v>20</v>
      </c>
      <c r="H85" s="1" t="s">
        <v>0</v>
      </c>
      <c r="I85" s="2">
        <v>0</v>
      </c>
      <c r="J85" s="22" t="s">
        <v>35</v>
      </c>
      <c r="K85" s="19">
        <f>2*J76-I85</f>
        <v>0.13302341384011634</v>
      </c>
      <c r="L85" s="22" t="s">
        <v>36</v>
      </c>
      <c r="M85" s="20">
        <f>K27</f>
        <v>0.16617342158533618</v>
      </c>
    </row>
    <row r="86" spans="3:13" ht="15.45" thickBot="1" x14ac:dyDescent="0.55000000000000004">
      <c r="H86" s="3" t="s">
        <v>1</v>
      </c>
      <c r="I86" s="4">
        <v>0</v>
      </c>
      <c r="K86" s="19">
        <f t="shared" ref="K86:K92" si="28">2*J77-I86</f>
        <v>0.12645311290065944</v>
      </c>
      <c r="M86" s="20">
        <f t="shared" ref="M86:M92" si="29">K28</f>
        <v>0.15872809184148651</v>
      </c>
    </row>
    <row r="87" spans="3:13" ht="15.45" thickBot="1" x14ac:dyDescent="0.55000000000000004">
      <c r="H87" s="3" t="s">
        <v>2</v>
      </c>
      <c r="I87" s="4">
        <v>0</v>
      </c>
      <c r="J87" s="25" t="s">
        <v>38</v>
      </c>
      <c r="K87" s="19">
        <f t="shared" si="28"/>
        <v>0.11900217384167586</v>
      </c>
      <c r="L87" s="25" t="s">
        <v>38</v>
      </c>
      <c r="M87" s="20">
        <f t="shared" si="29"/>
        <v>0.15024268723726134</v>
      </c>
    </row>
    <row r="88" spans="3:13" ht="15.45" thickBot="1" x14ac:dyDescent="0.55000000000000004">
      <c r="H88" s="3" t="s">
        <v>3</v>
      </c>
      <c r="I88" s="4">
        <v>0</v>
      </c>
      <c r="J88" s="11">
        <f>-I85*LOG(J76,2)-I86*LOG(J77,2)-I87*LOG(J78,2)-I88*LOG(J79,2)-I89*LOG(J80,2)-I90*LOG(J81,2)-I91*LOG(J82,2)-I92*LOG(J83,2)</f>
        <v>3.3789778147458667</v>
      </c>
      <c r="K88" s="19">
        <f t="shared" si="28"/>
        <v>0.12064321644025744</v>
      </c>
      <c r="L88" s="11">
        <f>-I27*LOG(E27,2)-I28*LOG(E28,2)-I29*LOG(E29,2)-I30*LOG(E30,2)-I31*LOG(E31,2)-I32*LOG(E32,2)-I33*LOG(E33,2)-I34*LOG(E34,2)</f>
        <v>3.8572896367824381</v>
      </c>
      <c r="M88" s="20">
        <f t="shared" si="29"/>
        <v>0.15213718683807448</v>
      </c>
    </row>
    <row r="89" spans="3:13" ht="15.45" thickBot="1" x14ac:dyDescent="0.55000000000000004">
      <c r="H89" s="3" t="s">
        <v>4</v>
      </c>
      <c r="I89" s="4">
        <v>0</v>
      </c>
      <c r="K89" s="19">
        <f t="shared" si="28"/>
        <v>0.10912044370080444</v>
      </c>
      <c r="M89" s="20">
        <f t="shared" si="29"/>
        <v>0.13901388555709379</v>
      </c>
    </row>
    <row r="90" spans="3:13" ht="15.45" thickBot="1" x14ac:dyDescent="0.55000000000000004">
      <c r="H90" s="3" t="s">
        <v>5</v>
      </c>
      <c r="I90" s="4">
        <v>0</v>
      </c>
      <c r="K90" s="19">
        <f t="shared" si="28"/>
        <v>0.13626832288750421</v>
      </c>
      <c r="M90" s="20">
        <f t="shared" si="29"/>
        <v>0.16978506537141597</v>
      </c>
    </row>
    <row r="91" spans="3:13" ht="15.45" thickBot="1" x14ac:dyDescent="0.55000000000000004">
      <c r="H91" s="3" t="s">
        <v>6</v>
      </c>
      <c r="I91" s="4">
        <v>1</v>
      </c>
      <c r="K91" s="19">
        <f t="shared" si="28"/>
        <v>-0.27441753954514936</v>
      </c>
      <c r="M91" s="20">
        <f t="shared" si="29"/>
        <v>-0.38445210661767248</v>
      </c>
    </row>
    <row r="92" spans="3:13" ht="15.45" thickBot="1" x14ac:dyDescent="0.55000000000000004">
      <c r="H92" s="3" t="s">
        <v>7</v>
      </c>
      <c r="I92" s="4">
        <v>1</v>
      </c>
      <c r="K92" s="19">
        <f t="shared" si="28"/>
        <v>-0.47009314406586877</v>
      </c>
      <c r="M92" s="20">
        <f t="shared" si="29"/>
        <v>-0.5516282318129957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2_Click">
                <anchor moveWithCells="1" sizeWithCells="1">
                  <from>
                    <xdr:col>12</xdr:col>
                    <xdr:colOff>250371</xdr:colOff>
                    <xdr:row>32</xdr:row>
                    <xdr:rowOff>32657</xdr:rowOff>
                  </from>
                  <to>
                    <xdr:col>15</xdr:col>
                    <xdr:colOff>410029</xdr:colOff>
                    <xdr:row>34</xdr:row>
                    <xdr:rowOff>192314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按钮3_Click">
                <anchor moveWithCells="1" sizeWithCells="1">
                  <from>
                    <xdr:col>12</xdr:col>
                    <xdr:colOff>254000</xdr:colOff>
                    <xdr:row>36</xdr:row>
                    <xdr:rowOff>170543</xdr:rowOff>
                  </from>
                  <to>
                    <xdr:col>15</xdr:col>
                    <xdr:colOff>402771</xdr:colOff>
                    <xdr:row>39</xdr:row>
                    <xdr:rowOff>130629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skip 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2021-11-25T07:45:11Z</dcterms:created>
  <dcterms:modified xsi:type="dcterms:W3CDTF">2022-02-18T07:09:25Z</dcterms:modified>
</cp:coreProperties>
</file>